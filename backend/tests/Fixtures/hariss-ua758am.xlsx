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.sukisa\AppData\Local\Microsoft\Windows\INetCache\Content.Outlook\WI21NEOL\"/>
    </mc:Choice>
  </mc:AlternateContent>
  <xr:revisionPtr revIDLastSave="0" documentId="13_ncr:1_{316EF751-919D-456D-B716-99F025A0E257}" xr6:coauthVersionLast="47" xr6:coauthVersionMax="47" xr10:uidLastSave="{00000000-0000-0000-0000-000000000000}"/>
  <bookViews>
    <workbookView xWindow="-120" yWindow="-120" windowWidth="20730" windowHeight="11040" tabRatio="885" xr2:uid="{4541ABDD-DAE4-4FD8-8AE8-E2F833E75554}"/>
  </bookViews>
  <sheets>
    <sheet name="Data_Sheet" sheetId="4" r:id="rId1"/>
    <sheet name="Weight" sheetId="16" state="hidden" r:id="rId2"/>
    <sheet name="UA 000AA" sheetId="15" state="hidden" r:id="rId3"/>
    <sheet name="Victorra Data" sheetId="17" state="hidden" r:id="rId4"/>
    <sheet name="Truck reg no.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5" i="4"/>
  <c r="B6" i="4"/>
  <c r="B7" i="4"/>
  <c r="B8" i="4"/>
  <c r="B9" i="4"/>
  <c r="B10" i="4"/>
  <c r="B11" i="4"/>
  <c r="B12" i="4"/>
  <c r="B13" i="4"/>
  <c r="B14" i="4"/>
  <c r="B3" i="4"/>
  <c r="D3" i="4" a="1"/>
  <c r="D3" i="4"/>
  <c r="D4" i="4" a="1"/>
  <c r="D4" i="4" s="1"/>
  <c r="D5" i="4" a="1"/>
  <c r="D5" i="4" s="1"/>
  <c r="D6" i="4" a="1"/>
  <c r="D6" i="4" s="1"/>
  <c r="D7" i="4" a="1"/>
  <c r="D7" i="4" s="1"/>
  <c r="D8" i="4" a="1"/>
  <c r="D8" i="4" s="1"/>
  <c r="D9" i="4" a="1"/>
  <c r="D9" i="4" s="1"/>
  <c r="D10" i="4" a="1"/>
  <c r="D10" i="4" s="1"/>
  <c r="D11" i="4" a="1"/>
  <c r="D11" i="4" s="1"/>
  <c r="D12" i="4" a="1"/>
  <c r="D12" i="4" s="1"/>
  <c r="D13" i="4" a="1"/>
  <c r="D13" i="4" s="1"/>
  <c r="D14" i="4" a="1"/>
  <c r="D14" i="4"/>
  <c r="Q4" i="17"/>
  <c r="R4" i="17"/>
  <c r="S4" i="17"/>
  <c r="T15" i="15" l="1"/>
  <c r="U15" i="15" s="1"/>
  <c r="S15" i="15"/>
  <c r="R15" i="15"/>
  <c r="L15" i="15"/>
  <c r="G15" i="15"/>
  <c r="T14" i="15" l="1"/>
  <c r="U14" i="15" s="1"/>
  <c r="S14" i="15"/>
  <c r="R14" i="15"/>
  <c r="L14" i="15"/>
  <c r="G14" i="15"/>
  <c r="T13" i="15"/>
  <c r="U13" i="15" s="1"/>
  <c r="S13" i="15"/>
  <c r="R13" i="15"/>
  <c r="L13" i="15"/>
  <c r="G13" i="15"/>
  <c r="T12" i="15"/>
  <c r="U12" i="15" s="1"/>
  <c r="S12" i="15"/>
  <c r="R12" i="15"/>
  <c r="L12" i="15"/>
  <c r="G12" i="15"/>
  <c r="T11" i="15"/>
  <c r="U11" i="15" s="1"/>
  <c r="S11" i="15"/>
  <c r="R11" i="15"/>
  <c r="L11" i="15"/>
  <c r="G11" i="15"/>
  <c r="T10" i="15"/>
  <c r="U10" i="15" s="1"/>
  <c r="S10" i="15"/>
  <c r="R10" i="15"/>
  <c r="L10" i="15"/>
  <c r="G10" i="15"/>
  <c r="T9" i="15"/>
  <c r="U9" i="15" s="1"/>
  <c r="S9" i="15"/>
  <c r="R9" i="15"/>
  <c r="L9" i="15"/>
  <c r="G9" i="15"/>
  <c r="T8" i="15"/>
  <c r="U8" i="15" s="1"/>
  <c r="S8" i="15"/>
  <c r="R8" i="15"/>
  <c r="L8" i="15"/>
  <c r="G8" i="15"/>
  <c r="T7" i="15"/>
  <c r="U7" i="15" s="1"/>
  <c r="S7" i="15"/>
  <c r="R7" i="15"/>
  <c r="L7" i="15"/>
  <c r="G7" i="15"/>
  <c r="T6" i="15"/>
  <c r="U6" i="15" s="1"/>
  <c r="S6" i="15"/>
  <c r="R6" i="15"/>
  <c r="L6" i="15"/>
  <c r="G6" i="15"/>
  <c r="T5" i="15"/>
  <c r="U5" i="15" s="1"/>
  <c r="S5" i="15"/>
  <c r="R5" i="15"/>
  <c r="L5" i="15"/>
  <c r="G5" i="15"/>
  <c r="X4" i="4" l="1"/>
  <c r="J3" i="4" l="1"/>
  <c r="I3" i="4" s="1"/>
  <c r="L3" i="4"/>
  <c r="K3" i="4" s="1"/>
  <c r="P3" i="4"/>
  <c r="O3" i="4" s="1"/>
  <c r="R3" i="4"/>
  <c r="Q3" i="4" s="1"/>
  <c r="T3" i="4"/>
  <c r="AB3" i="4" s="1"/>
  <c r="U3" i="4"/>
  <c r="Y3" i="4" s="1"/>
  <c r="X3" i="4"/>
  <c r="AA3" i="4"/>
  <c r="AA14" i="4" l="1"/>
  <c r="J14" i="4"/>
  <c r="I14" i="4" s="1"/>
  <c r="L14" i="4"/>
  <c r="K14" i="4" s="1"/>
  <c r="P14" i="4"/>
  <c r="O14" i="4" s="1"/>
  <c r="R14" i="4"/>
  <c r="Q14" i="4" s="1"/>
  <c r="T14" i="4"/>
  <c r="AB14" i="4" s="1"/>
  <c r="U14" i="4"/>
  <c r="Y14" i="4" s="1"/>
  <c r="X14" i="4"/>
  <c r="X13" i="4" l="1"/>
  <c r="U13" i="4"/>
  <c r="Y13" i="4" s="1"/>
  <c r="T13" i="4"/>
  <c r="AB13" i="4" s="1"/>
  <c r="R13" i="4"/>
  <c r="Q13" i="4" s="1"/>
  <c r="P13" i="4"/>
  <c r="O13" i="4" s="1"/>
  <c r="L13" i="4"/>
  <c r="K13" i="4" s="1"/>
  <c r="J13" i="4"/>
  <c r="I13" i="4" s="1"/>
  <c r="AA13" i="4"/>
  <c r="U12" i="4"/>
  <c r="Y12" i="4" s="1"/>
  <c r="T12" i="4"/>
  <c r="AB12" i="4" s="1"/>
  <c r="R12" i="4"/>
  <c r="Q12" i="4" s="1"/>
  <c r="P12" i="4"/>
  <c r="O12" i="4" s="1"/>
  <c r="L12" i="4"/>
  <c r="K12" i="4" s="1"/>
  <c r="J12" i="4"/>
  <c r="I12" i="4" s="1"/>
  <c r="AA12" i="4"/>
  <c r="U11" i="4"/>
  <c r="Y11" i="4" s="1"/>
  <c r="T11" i="4"/>
  <c r="AB11" i="4" s="1"/>
  <c r="R11" i="4"/>
  <c r="Q11" i="4" s="1"/>
  <c r="P11" i="4"/>
  <c r="O11" i="4" s="1"/>
  <c r="L11" i="4"/>
  <c r="K11" i="4" s="1"/>
  <c r="J11" i="4"/>
  <c r="I11" i="4" s="1"/>
  <c r="AA11" i="4"/>
  <c r="X10" i="4"/>
  <c r="U10" i="4"/>
  <c r="Y10" i="4" s="1"/>
  <c r="T10" i="4"/>
  <c r="AB10" i="4" s="1"/>
  <c r="R10" i="4"/>
  <c r="Q10" i="4" s="1"/>
  <c r="P10" i="4"/>
  <c r="O10" i="4" s="1"/>
  <c r="L10" i="4"/>
  <c r="K10" i="4" s="1"/>
  <c r="J10" i="4"/>
  <c r="I10" i="4" s="1"/>
  <c r="AA10" i="4"/>
  <c r="X9" i="4"/>
  <c r="U9" i="4"/>
  <c r="Y9" i="4" s="1"/>
  <c r="T9" i="4"/>
  <c r="AB9" i="4" s="1"/>
  <c r="R9" i="4"/>
  <c r="Q9" i="4" s="1"/>
  <c r="P9" i="4"/>
  <c r="O9" i="4" s="1"/>
  <c r="L9" i="4"/>
  <c r="K9" i="4" s="1"/>
  <c r="J9" i="4"/>
  <c r="I9" i="4" s="1"/>
  <c r="AA9" i="4"/>
  <c r="X8" i="4"/>
  <c r="U8" i="4"/>
  <c r="Y8" i="4" s="1"/>
  <c r="T8" i="4"/>
  <c r="AB8" i="4" s="1"/>
  <c r="R8" i="4"/>
  <c r="Q8" i="4" s="1"/>
  <c r="P8" i="4"/>
  <c r="O8" i="4" s="1"/>
  <c r="L8" i="4"/>
  <c r="K8" i="4" s="1"/>
  <c r="J8" i="4"/>
  <c r="I8" i="4" s="1"/>
  <c r="AA8" i="4"/>
  <c r="X7" i="4"/>
  <c r="T7" i="4"/>
  <c r="AB7" i="4" s="1"/>
  <c r="R7" i="4"/>
  <c r="Q7" i="4" s="1"/>
  <c r="P7" i="4"/>
  <c r="O7" i="4" s="1"/>
  <c r="L7" i="4"/>
  <c r="K7" i="4" s="1"/>
  <c r="J7" i="4"/>
  <c r="I7" i="4" s="1"/>
  <c r="AA7" i="4"/>
  <c r="X6" i="4"/>
  <c r="U6" i="4"/>
  <c r="Y6" i="4" s="1"/>
  <c r="T6" i="4"/>
  <c r="AB6" i="4" s="1"/>
  <c r="R6" i="4"/>
  <c r="Q6" i="4" s="1"/>
  <c r="P6" i="4"/>
  <c r="O6" i="4" s="1"/>
  <c r="L6" i="4"/>
  <c r="K6" i="4" s="1"/>
  <c r="J6" i="4"/>
  <c r="I6" i="4" s="1"/>
  <c r="AA6" i="4"/>
  <c r="X5" i="4"/>
  <c r="U5" i="4"/>
  <c r="Y5" i="4" s="1"/>
  <c r="T5" i="4"/>
  <c r="AB5" i="4" s="1"/>
  <c r="R5" i="4"/>
  <c r="Q5" i="4" s="1"/>
  <c r="P5" i="4"/>
  <c r="O5" i="4" s="1"/>
  <c r="L5" i="4"/>
  <c r="K5" i="4" s="1"/>
  <c r="J5" i="4"/>
  <c r="I5" i="4" s="1"/>
  <c r="AA5" i="4"/>
  <c r="U4" i="4"/>
  <c r="Y4" i="4" s="1"/>
  <c r="T4" i="4"/>
  <c r="AB4" i="4" s="1"/>
  <c r="R4" i="4"/>
  <c r="Q4" i="4" s="1"/>
  <c r="P4" i="4"/>
  <c r="O4" i="4" s="1"/>
  <c r="L4" i="4"/>
  <c r="K4" i="4" s="1"/>
  <c r="J4" i="4"/>
  <c r="I4" i="4" s="1"/>
  <c r="AA4" i="4" l="1"/>
  <c r="U7" i="4"/>
  <c r="Y7" i="4" s="1"/>
  <c r="X11" i="4"/>
  <c r="X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B97A42-211E-4E83-897A-1EECC8266E7C}" keepAlive="1" name="Query - regions" description="Connection to the 'regions' query in the workbook." type="5" refreshedVersion="0" background="1" saveData="1">
    <dbPr connection="Provider=Microsoft.Mashup.OleDb.1;Data Source=$Workbook$;Location=regions;Extended Properties=&quot;&quot;" command="SELECT * FROM [region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<sst xmlns="http://schemas.openxmlformats.org/spreadsheetml/2006/main" count="280" uniqueCount="134">
  <si>
    <t xml:space="preserve">Vehicle Reg Number </t>
  </si>
  <si>
    <t>Vehicle Make</t>
  </si>
  <si>
    <t>Destination</t>
  </si>
  <si>
    <t>Mileage (Km)</t>
  </si>
  <si>
    <t xml:space="preserve">Departure Time  </t>
  </si>
  <si>
    <t>Arrival  Time</t>
  </si>
  <si>
    <t>Delivery Time</t>
  </si>
  <si>
    <t>Parking Time-Depot</t>
  </si>
  <si>
    <t xml:space="preserve">Departure-Depot </t>
  </si>
  <si>
    <t>Arrival at Factory</t>
  </si>
  <si>
    <t>Return Duration</t>
  </si>
  <si>
    <t>Trip Duration</t>
  </si>
  <si>
    <t>Consumed</t>
  </si>
  <si>
    <t xml:space="preserve">Fuel Given </t>
  </si>
  <si>
    <t>System fillings</t>
  </si>
  <si>
    <t xml:space="preserve">Differnce </t>
  </si>
  <si>
    <t xml:space="preserve">Final </t>
  </si>
  <si>
    <t>Actual Average</t>
  </si>
  <si>
    <t>Remarks</t>
  </si>
  <si>
    <t>UA 000AA</t>
  </si>
  <si>
    <t xml:space="preserve">Faw </t>
  </si>
  <si>
    <t>Delivery Time(hr)</t>
  </si>
  <si>
    <t>Expected Average</t>
  </si>
  <si>
    <t>Trip Duration(hr)</t>
  </si>
  <si>
    <t>Return Duration(hr)</t>
  </si>
  <si>
    <t>Parking Time-Depot(hr)</t>
  </si>
  <si>
    <t>Consumed (IVMS)</t>
  </si>
  <si>
    <t>Differnce (IVMS)</t>
  </si>
  <si>
    <t>ARUA</t>
  </si>
  <si>
    <t>KITGUM</t>
  </si>
  <si>
    <t>KABALE</t>
  </si>
  <si>
    <t>APAC</t>
  </si>
  <si>
    <t>MOROTO</t>
  </si>
  <si>
    <t>BUGIRI</t>
  </si>
  <si>
    <t>Initial fuel</t>
  </si>
  <si>
    <t>Efficiency</t>
  </si>
  <si>
    <t>KAMWENGE</t>
  </si>
  <si>
    <t>MASINDI</t>
  </si>
  <si>
    <t>MPONDWE</t>
  </si>
  <si>
    <t>Info</t>
  </si>
  <si>
    <t xml:space="preserve"> REGION</t>
  </si>
  <si>
    <t>DEPOT</t>
  </si>
  <si>
    <t>DESTINATION</t>
  </si>
  <si>
    <t>Region</t>
  </si>
  <si>
    <t>Avg Speed</t>
  </si>
  <si>
    <t>UA 000AA-TRAILER</t>
  </si>
  <si>
    <t>477/476</t>
  </si>
  <si>
    <t>SET OFF ON TIME</t>
  </si>
  <si>
    <t>334/333</t>
  </si>
  <si>
    <t>LATE NIGHT LOADING,TRUCK SET OFF IN MNG</t>
  </si>
  <si>
    <t>243/242</t>
  </si>
  <si>
    <t>TRUCK TO BE OFFLOADED TOMORROW AT 7AM</t>
  </si>
  <si>
    <t>069/068</t>
  </si>
  <si>
    <t>022/021</t>
  </si>
  <si>
    <t>244/243</t>
  </si>
  <si>
    <t>321/320</t>
  </si>
  <si>
    <t>417/416</t>
  </si>
  <si>
    <t>616/615</t>
  </si>
  <si>
    <t>994/993</t>
  </si>
  <si>
    <t>LATE NIGHT LOADING,TRUCK SET OFF IN MNG-LAVITA</t>
  </si>
  <si>
    <t>014/013</t>
  </si>
  <si>
    <t>DAY &amp; DATE</t>
  </si>
  <si>
    <t>0/N</t>
  </si>
  <si>
    <t>SAP ORDER NO</t>
  </si>
  <si>
    <t>DISTANCE/KM</t>
  </si>
  <si>
    <t>FUEL GIVEN(Litres)</t>
  </si>
  <si>
    <t>EXP FUEL EFFICIENCY(KM/L)</t>
  </si>
  <si>
    <t>VEHICLE NO &amp; TYPE</t>
  </si>
  <si>
    <t>SEAL NUMBER</t>
  </si>
  <si>
    <t>MAX LOAD(T)</t>
  </si>
  <si>
    <t>ACTUAL LOAD(T)</t>
  </si>
  <si>
    <t>% TRUCK UTILISATION</t>
  </si>
  <si>
    <t>ORDER TIME POSTED</t>
  </si>
  <si>
    <t>START LOADING TIME</t>
  </si>
  <si>
    <t>FINISH LOADING TIME</t>
  </si>
  <si>
    <t>DEL &amp; INV  RECEIVED</t>
  </si>
  <si>
    <t xml:space="preserve"> TRUCK DEPARTURE</t>
  </si>
  <si>
    <t>PERIOD BTN LOADING &amp; DEPARTURE</t>
  </si>
  <si>
    <t>PERIOD BTN DOC RECIEPT &amp;DEPARTURE</t>
  </si>
  <si>
    <t>RETURN TIME</t>
  </si>
  <si>
    <t>RETURN DATE</t>
  </si>
  <si>
    <t>REMARKS</t>
  </si>
  <si>
    <t>PENDING ORDERS</t>
  </si>
  <si>
    <t>Apac</t>
  </si>
  <si>
    <t>Masindi</t>
  </si>
  <si>
    <t>Moroto</t>
  </si>
  <si>
    <t>Mpondwe</t>
  </si>
  <si>
    <t>Trip completed at HIL Old Plant Kawempe</t>
  </si>
  <si>
    <t>Kabale</t>
  </si>
  <si>
    <t>Arua</t>
  </si>
  <si>
    <t>Bugiri</t>
  </si>
  <si>
    <t>Loaded round trip (+Kinyara sugar trip)</t>
  </si>
  <si>
    <t>Kamwenge</t>
  </si>
  <si>
    <t>SESSION</t>
  </si>
  <si>
    <t>INV_DEL_NUM</t>
  </si>
  <si>
    <t>PLATE</t>
  </si>
  <si>
    <t>DRIVER</t>
  </si>
  <si>
    <t>MATERIAL</t>
  </si>
  <si>
    <t>LOCATION</t>
  </si>
  <si>
    <t>OUT_WEIGHT</t>
  </si>
  <si>
    <t>IN_WEIGHT</t>
  </si>
  <si>
    <t>NET_WEIGHT</t>
  </si>
  <si>
    <t>REMARK</t>
  </si>
  <si>
    <t>O_DATE</t>
  </si>
  <si>
    <t>O_TIME</t>
  </si>
  <si>
    <t>C_DATE</t>
  </si>
  <si>
    <t>C_TIME</t>
  </si>
  <si>
    <t>LOADED</t>
  </si>
  <si>
    <t>DriverA</t>
  </si>
  <si>
    <t>SODA</t>
  </si>
  <si>
    <t>TULA</t>
  </si>
  <si>
    <t>OFFLOADED</t>
  </si>
  <si>
    <t>SUGAR</t>
  </si>
  <si>
    <t xml:space="preserve">OUT  </t>
  </si>
  <si>
    <t xml:space="preserve">OUT </t>
  </si>
  <si>
    <t>OUT</t>
  </si>
  <si>
    <t>IN</t>
  </si>
  <si>
    <t>Kitgum</t>
  </si>
  <si>
    <t>Uncompleted trip</t>
  </si>
  <si>
    <t>Loaded round trip</t>
  </si>
  <si>
    <t>FET Trail trip</t>
  </si>
  <si>
    <t>Actual Load(T)</t>
  </si>
  <si>
    <t>In_Weight</t>
  </si>
  <si>
    <t>Western</t>
  </si>
  <si>
    <t>North</t>
  </si>
  <si>
    <t>West Nile</t>
  </si>
  <si>
    <t>Eastern</t>
  </si>
  <si>
    <t>South</t>
  </si>
  <si>
    <t>Distance &amp; Speed</t>
  </si>
  <si>
    <t>Trip Information</t>
  </si>
  <si>
    <t>Time Metrics</t>
  </si>
  <si>
    <t>Fuel Metrics</t>
  </si>
  <si>
    <t>Weight Metrics</t>
  </si>
  <si>
    <t>Remarks/Notes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</si>
</sst>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(* #,##0_);_(* \(#,##0\);_(* &quot;-&quot;??_);_(@_)"/>
    <numFmt numFmtId="165" formatCode="_(* #,##0.0_);_(* \(#,##0.0\);_(* &quot;-&quot;??_);_(@_)"/>
    <numFmt numFmtId="166" formatCode="[$-F400]h:mm:ss\ AM/PM"/>
    <numFmt numFmtId="167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Signika Negative"/>
    </font>
    <font>
      <sz val="11"/>
      <name val="Signika Negative"/>
    </font>
    <font>
      <sz val="11"/>
      <color rgb="FFFF0000"/>
      <name val="Signika Negative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Signika"/>
      <family val="3"/>
    </font>
    <font>
      <sz val="11"/>
      <name val="Signika"/>
      <family val="3"/>
    </font>
    <font>
      <b/>
      <sz val="11"/>
      <color theme="1"/>
      <name val="Signika"/>
      <family val="3"/>
    </font>
    <font>
      <sz val="11"/>
      <color theme="1"/>
      <name val="Signika"/>
      <family val="3"/>
    </font>
    <font>
      <b/>
      <sz val="12"/>
      <name val="Signika Negative"/>
    </font>
    <font>
      <sz val="12"/>
      <name val="Signika Negative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164" fontId="2" fillId="2" borderId="1" xfId="1" applyNumberFormat="1" applyFont="1" applyFill="1" applyBorder="1" applyAlignment="1">
      <alignment horizontal="right"/>
    </xf>
    <xf numFmtId="0" fontId="3" fillId="0" borderId="0" xfId="0" applyFont="1"/>
    <xf numFmtId="164" fontId="3" fillId="2" borderId="2" xfId="1" applyNumberFormat="1" applyFont="1" applyFill="1" applyBorder="1" applyAlignment="1">
      <alignment horizontal="left"/>
    </xf>
    <xf numFmtId="164" fontId="3" fillId="2" borderId="1" xfId="1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22" fontId="3" fillId="2" borderId="2" xfId="0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/>
    <xf numFmtId="164" fontId="3" fillId="2" borderId="2" xfId="1" applyNumberFormat="1" applyFont="1" applyFill="1" applyBorder="1" applyAlignment="1">
      <alignment vertical="center"/>
    </xf>
    <xf numFmtId="165" fontId="3" fillId="2" borderId="3" xfId="1" applyNumberFormat="1" applyFont="1" applyFill="1" applyBorder="1" applyAlignment="1">
      <alignment vertical="center"/>
    </xf>
    <xf numFmtId="164" fontId="3" fillId="2" borderId="5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left"/>
    </xf>
    <xf numFmtId="22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22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/>
    <xf numFmtId="164" fontId="3" fillId="2" borderId="1" xfId="1" applyNumberFormat="1" applyFont="1" applyFill="1" applyBorder="1" applyAlignment="1">
      <alignment vertical="center"/>
    </xf>
    <xf numFmtId="22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4" fillId="0" borderId="0" xfId="0" applyFont="1"/>
    <xf numFmtId="4" fontId="3" fillId="0" borderId="0" xfId="0" applyNumberFormat="1" applyFont="1"/>
    <xf numFmtId="22" fontId="3" fillId="2" borderId="1" xfId="1" applyNumberFormat="1" applyFont="1" applyFill="1" applyBorder="1" applyAlignment="1">
      <alignment horizontal="right" vertical="center"/>
    </xf>
    <xf numFmtId="164" fontId="3" fillId="2" borderId="1" xfId="1" applyNumberFormat="1" applyFont="1" applyFill="1" applyBorder="1" applyAlignment="1">
      <alignment horizontal="right" vertical="center"/>
    </xf>
    <xf numFmtId="22" fontId="3" fillId="2" borderId="1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165" fontId="3" fillId="2" borderId="6" xfId="1" applyNumberFormat="1" applyFont="1" applyFill="1" applyBorder="1" applyAlignment="1">
      <alignment vertical="center"/>
    </xf>
    <xf numFmtId="164" fontId="2" fillId="2" borderId="5" xfId="1" applyNumberFormat="1" applyFont="1" applyFill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3" fillId="4" borderId="0" xfId="0" applyFont="1" applyFill="1"/>
    <xf numFmtId="0" fontId="0" fillId="3" borderId="1" xfId="0" applyFill="1" applyBorder="1"/>
    <xf numFmtId="0" fontId="7" fillId="0" borderId="1" xfId="0" applyFont="1" applyBorder="1" applyAlignment="1">
      <alignment horizontal="center" vertical="center" wrapText="1"/>
    </xf>
    <xf numFmtId="43" fontId="7" fillId="0" borderId="1" xfId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164" fontId="7" fillId="0" borderId="1" xfId="1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" fontId="8" fillId="0" borderId="1" xfId="0" applyNumberFormat="1" applyFont="1" applyBorder="1"/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43" fontId="8" fillId="0" borderId="1" xfId="1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left" vertical="center"/>
    </xf>
    <xf numFmtId="10" fontId="8" fillId="0" borderId="1" xfId="2" applyNumberFormat="1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43" fontId="8" fillId="0" borderId="1" xfId="1" applyFont="1" applyBorder="1" applyAlignment="1">
      <alignment horizontal="left" vertical="center"/>
    </xf>
    <xf numFmtId="0" fontId="8" fillId="0" borderId="0" xfId="0" applyFont="1"/>
    <xf numFmtId="1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center" vertical="center"/>
    </xf>
    <xf numFmtId="43" fontId="8" fillId="2" borderId="1" xfId="1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164" fontId="8" fillId="2" borderId="1" xfId="1" applyNumberFormat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left" vertical="center"/>
    </xf>
    <xf numFmtId="10" fontId="8" fillId="2" borderId="1" xfId="2" applyNumberFormat="1" applyFont="1" applyFill="1" applyBorder="1" applyAlignment="1">
      <alignment horizontal="center" vertical="center"/>
    </xf>
    <xf numFmtId="22" fontId="8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167" fontId="8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43" fontId="8" fillId="2" borderId="1" xfId="1" applyFont="1" applyFill="1" applyBorder="1" applyAlignment="1">
      <alignment horizontal="left" vertical="center"/>
    </xf>
    <xf numFmtId="0" fontId="8" fillId="2" borderId="0" xfId="0" applyFont="1" applyFill="1"/>
    <xf numFmtId="0" fontId="10" fillId="0" borderId="0" xfId="0" applyFont="1"/>
    <xf numFmtId="0" fontId="9" fillId="0" borderId="1" xfId="0" applyFont="1" applyBorder="1"/>
    <xf numFmtId="0" fontId="10" fillId="0" borderId="1" xfId="0" applyFont="1" applyBorder="1"/>
    <xf numFmtId="22" fontId="10" fillId="0" borderId="1" xfId="0" applyNumberFormat="1" applyFont="1" applyBorder="1"/>
    <xf numFmtId="21" fontId="10" fillId="0" borderId="1" xfId="0" applyNumberFormat="1" applyFont="1" applyBorder="1"/>
    <xf numFmtId="164" fontId="2" fillId="2" borderId="1" xfId="1" applyNumberFormat="1" applyFont="1" applyFill="1" applyBorder="1" applyAlignment="1">
      <alignment horizontal="center" wrapText="1"/>
    </xf>
    <xf numFmtId="164" fontId="2" fillId="2" borderId="1" xfId="1" applyNumberFormat="1" applyFont="1" applyFill="1" applyBorder="1" applyAlignment="1">
      <alignment horizontal="right" wrapText="1"/>
    </xf>
    <xf numFmtId="164" fontId="2" fillId="2" borderId="7" xfId="1" applyNumberFormat="1" applyFont="1" applyFill="1" applyBorder="1" applyAlignment="1">
      <alignment wrapText="1"/>
    </xf>
    <xf numFmtId="165" fontId="2" fillId="2" borderId="8" xfId="1" applyNumberFormat="1" applyFont="1" applyFill="1" applyBorder="1" applyAlignment="1">
      <alignment vertical="center"/>
    </xf>
    <xf numFmtId="165" fontId="2" fillId="2" borderId="3" xfId="1" applyNumberFormat="1" applyFont="1" applyFill="1" applyBorder="1" applyAlignment="1">
      <alignment vertical="center"/>
    </xf>
    <xf numFmtId="165" fontId="2" fillId="2" borderId="7" xfId="1" applyNumberFormat="1" applyFont="1" applyFill="1" applyBorder="1" applyAlignment="1">
      <alignment vertical="center"/>
    </xf>
    <xf numFmtId="0" fontId="3" fillId="0" borderId="1" xfId="0" applyFont="1" applyBorder="1"/>
    <xf numFmtId="0" fontId="3" fillId="0" borderId="1" xfId="0" quotePrefix="1" applyFont="1" applyBorder="1"/>
    <xf numFmtId="0" fontId="8" fillId="0" borderId="1" xfId="0" applyFont="1" applyBorder="1"/>
    <xf numFmtId="0" fontId="8" fillId="2" borderId="1" xfId="0" applyFont="1" applyFill="1" applyBorder="1"/>
    <xf numFmtId="0" fontId="7" fillId="0" borderId="1" xfId="0" applyFont="1" applyBorder="1" applyAlignment="1">
      <alignment vertical="center" wrapText="1"/>
    </xf>
    <xf numFmtId="164" fontId="2" fillId="5" borderId="5" xfId="1" applyNumberFormat="1" applyFont="1" applyFill="1" applyBorder="1" applyAlignment="1">
      <alignment horizontal="center"/>
    </xf>
    <xf numFmtId="164" fontId="3" fillId="5" borderId="2" xfId="1" applyNumberFormat="1" applyFont="1" applyFill="1" applyBorder="1" applyAlignment="1">
      <alignment horizontal="left"/>
    </xf>
    <xf numFmtId="164" fontId="3" fillId="5" borderId="1" xfId="1" applyNumberFormat="1" applyFont="1" applyFill="1" applyBorder="1" applyAlignment="1">
      <alignment horizontal="left"/>
    </xf>
    <xf numFmtId="22" fontId="3" fillId="5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22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3" fillId="5" borderId="1" xfId="1" applyNumberFormat="1" applyFont="1" applyFill="1" applyBorder="1" applyAlignment="1"/>
    <xf numFmtId="164" fontId="3" fillId="5" borderId="2" xfId="1" applyNumberFormat="1" applyFont="1" applyFill="1" applyBorder="1" applyAlignment="1"/>
    <xf numFmtId="164" fontId="3" fillId="5" borderId="1" xfId="1" applyNumberFormat="1" applyFont="1" applyFill="1" applyBorder="1" applyAlignment="1">
      <alignment vertical="center"/>
    </xf>
    <xf numFmtId="165" fontId="3" fillId="5" borderId="3" xfId="1" applyNumberFormat="1" applyFont="1" applyFill="1" applyBorder="1" applyAlignment="1">
      <alignment vertical="center"/>
    </xf>
    <xf numFmtId="165" fontId="2" fillId="5" borderId="7" xfId="1" applyNumberFormat="1" applyFont="1" applyFill="1" applyBorder="1" applyAlignment="1">
      <alignment vertical="center"/>
    </xf>
    <xf numFmtId="0" fontId="3" fillId="5" borderId="1" xfId="0" quotePrefix="1" applyFont="1" applyFill="1" applyBorder="1"/>
    <xf numFmtId="16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/>
    <xf numFmtId="165" fontId="2" fillId="2" borderId="9" xfId="1" applyNumberFormat="1" applyFont="1" applyFill="1" applyBorder="1" applyAlignment="1">
      <alignment vertical="center"/>
    </xf>
    <xf numFmtId="165" fontId="2" fillId="2" borderId="1" xfId="1" applyNumberFormat="1" applyFont="1" applyFill="1" applyBorder="1" applyAlignment="1">
      <alignment vertical="center"/>
    </xf>
    <xf numFmtId="0" fontId="6" fillId="0" borderId="0" xfId="0" applyFont="1"/>
    <xf numFmtId="164" fontId="2" fillId="2" borderId="2" xfId="1" applyNumberFormat="1" applyFont="1" applyFill="1" applyBorder="1" applyAlignment="1">
      <alignment horizontal="right"/>
    </xf>
    <xf numFmtId="164" fontId="2" fillId="5" borderId="1" xfId="1" applyNumberFormat="1" applyFont="1" applyFill="1" applyBorder="1" applyAlignment="1">
      <alignment horizontal="right"/>
    </xf>
    <xf numFmtId="164" fontId="2" fillId="0" borderId="1" xfId="1" applyNumberFormat="1" applyFont="1" applyFill="1" applyBorder="1" applyAlignment="1"/>
    <xf numFmtId="164" fontId="2" fillId="0" borderId="2" xfId="1" applyNumberFormat="1" applyFont="1" applyFill="1" applyBorder="1" applyAlignment="1"/>
    <xf numFmtId="164" fontId="2" fillId="5" borderId="1" xfId="1" applyNumberFormat="1" applyFont="1" applyFill="1" applyBorder="1" applyAlignment="1"/>
    <xf numFmtId="0" fontId="12" fillId="0" borderId="0" xfId="0" applyFont="1"/>
    <xf numFmtId="165" fontId="3" fillId="0" borderId="0" xfId="0" applyNumberFormat="1" applyFont="1"/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Signika Negative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5" formatCode="_(* #,##0.0_);_(* \(#,##0.0\);_(* &quot;-&quot;??_);_(@_)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5" formatCode="_(* #,##0.0_);_(* \(#,##0.0\);_(* &quot;-&quot;??_);_(@_)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5" formatCode="_(* #,##0.0_);_(* \(#,##0.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5" formatCode="_(* #,##0.0_);_(* \(#,##0.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27" formatCode="dd/mm/yyyy\ hh: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27" formatCode="dd/mm/yyyy\ hh:mm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27" formatCode="dd/mm/yyyy\ hh:mm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27" formatCode="dd/mm/yyyy\ hh:mm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27" formatCode="dd/mm/yyyy\ hh:mm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gnika Negative"/>
        <scheme val="none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Signika Negative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Signika Negative"/>
        <scheme val="none"/>
      </font>
      <alignment vertical="bottom" textRotation="0" wrapText="1" indent="0" justifyLastLine="0" shrinkToFit="0" readingOrder="0"/>
    </dxf>
    <dxf>
      <font>
        <sz val="10"/>
        <color theme="0"/>
      </font>
      <fill>
        <patternFill>
          <bgColor theme="3"/>
        </patternFill>
      </fill>
    </dxf>
  </dxfs>
  <tableStyles count="1" defaultTableStyle="TableStyleMedium2" defaultPivotStyle="PivotStyleLight16">
    <tableStyle name="Slicer Style 1" pivot="0" table="0" count="5" xr9:uid="{688D26F3-9D79-4D25-8EAA-4B293D41CB45}">
      <tableStyleElement type="wholeTable" dxfId="101"/>
    </tableStyle>
  </tableStyles>
  <extLst>
    <ext xmlns:x14="http://schemas.microsoft.com/office/spreadsheetml/2009/9/main" uri="{46F421CA-312F-682f-3DD2-61675219B42D}">
      <x14:dxfs count="4">
        <dxf>
          <fill>
            <patternFill>
              <fgColor rgb="FFFFFF00"/>
            </patternFill>
          </fill>
        </dxf>
        <dxf>
          <font>
            <color rgb="FFFFFF00"/>
          </font>
          <fill>
            <patternFill patternType="none">
              <bgColor auto="1"/>
            </patternFill>
          </fill>
        </dxf>
        <dxf>
          <fill>
            <gradientFill degree="90">
              <stop position="0">
                <color rgb="FFFFFF00"/>
              </stop>
              <stop position="1">
                <color theme="4"/>
              </stop>
            </gradientFill>
          </fill>
        </dxf>
        <dxf>
          <font>
            <color theme="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E07C9F-B99F-4F3B-A949-F86E7D4F9695}" name="mar_20265" displayName="mar_20265" ref="A2:AF14" totalsRowShown="0" headerRowDxfId="100" dataDxfId="99">
  <autoFilter ref="A2:AF14" xr:uid="{38E07C9F-B99F-4F3B-A949-F86E7D4F9695}"/>
  <tableColumns count="32">
    <tableColumn id="1" xr3:uid="{6B0A7A2E-40AD-43E3-AAF2-6152EE03B849}" name="Vehicle Reg Number " dataDxfId="98" dataCellStyle="Comma"/>
    <tableColumn id="2" xr3:uid="{B1F805EF-EE89-40A0-B3AC-02FC4ACEE2DC}" name="Vehicle Make" dataDxfId="97" dataCellStyle="Comma">
      <calculatedColumnFormula>_xlfn.XLOOKUP(mar_20265[[#This Row],[Vehicle Reg Number ]],trucks[[Vehicle Reg Number ]],trucks[Vehicle Make],"")</calculatedColumnFormula>
    </tableColumn>
    <tableColumn id="3" xr3:uid="{AC0DBD41-4713-42CF-98F3-97AC72DA8B44}" name="Destination" dataDxfId="96" dataCellStyle="Comma"/>
    <tableColumn id="22" xr3:uid="{20C49F14-6832-4582-B4A9-AC92AD7706F1}" name="Region" dataDxfId="95" dataCellStyle="Comma">
      <calculatedColumnFormula array="1">_xlfn.XLOOKUP(mar_20265[[#This Row],[Destination]],regions[[#All],[DEPOT]],regions[[#All],[ REGION]],"")</calculatedColumnFormula>
    </tableColumn>
    <tableColumn id="4" xr3:uid="{A34B0F92-4B8E-43FB-86EC-1AE9439FB816}" name="Mileage (Km)" dataDxfId="94" dataCellStyle="Comma"/>
    <tableColumn id="5" xr3:uid="{60147906-3CD5-4BC4-9310-C629A4D25FD5}" name="Avg Speed" dataDxfId="93" dataCellStyle="Comma"/>
    <tableColumn id="6" xr3:uid="{3D26B7E7-BB3C-4B18-BF4C-D59356D53CB9}" name="Departure Time  " dataDxfId="92"/>
    <tableColumn id="7" xr3:uid="{8D15FA85-D5CF-4A7F-9A24-F0DA9041D4E9}" name="Arrival  Time" dataDxfId="91"/>
    <tableColumn id="26" xr3:uid="{0185C5CD-BFD0-4605-BC2D-9C0DBD8FED04}" name="Delivery Time" dataDxfId="90">
      <calculatedColumnFormula>VALUE(LEFT(mar_20265[[#This Row],[Delivery Time(hr)]],FIND(":",mar_20265[[#This Row],[Delivery Time(hr)]])-1))/24 + VALUE(RIGHT(mar_20265[[#This Row],[Delivery Time(hr)]],2))/1440</calculatedColumnFormula>
    </tableColumn>
    <tableColumn id="8" xr3:uid="{6B730447-2B8C-4623-8A3E-4AB275717DA8}" name="Delivery Time(hr)" dataDxfId="89">
      <calculatedColumnFormula>TEXT(H3-G3,"[hh]:mm")</calculatedColumnFormula>
    </tableColumn>
    <tableColumn id="27" xr3:uid="{F8AF46EA-DA50-44E6-A196-AD28135DC2F6}" name="Parking Time-Depot" dataDxfId="88">
      <calculatedColumnFormula>VALUE(LEFT(mar_20265[[#This Row],[Parking Time-Depot(hr)]],FIND(":",mar_20265[[#This Row],[Parking Time-Depot(hr)]])-1))/24 + VALUE(RIGHT(mar_20265[[#This Row],[Parking Time-Depot(hr)]],2))/1440</calculatedColumnFormula>
    </tableColumn>
    <tableColumn id="9" xr3:uid="{6D0700FF-DDAD-4772-BD72-CF528CA29F4C}" name="Parking Time-Depot(hr)" dataDxfId="87">
      <calculatedColumnFormula>TEXT(M3-H3,"[hh]:mm")</calculatedColumnFormula>
    </tableColumn>
    <tableColumn id="10" xr3:uid="{1D494688-7B63-4AA3-95B8-4B7D03BDFD1D}" name="Departure-Depot " dataDxfId="86"/>
    <tableColumn id="11" xr3:uid="{EB9523FD-6263-4843-8D14-6C77DB13B02E}" name="Arrival at Factory" dataDxfId="85"/>
    <tableColumn id="28" xr3:uid="{1D4D6DB5-6EBB-4E2C-9A17-FB89C03ABC5A}" name="Return Duration" dataDxfId="84">
      <calculatedColumnFormula>VALUE(LEFT(mar_20265[[#This Row],[Return Duration(hr)]],FIND(":",mar_20265[[#This Row],[Return Duration(hr)]])-1))/24 + VALUE(RIGHT(mar_20265[[#This Row],[Return Duration(hr)]],2))/1440</calculatedColumnFormula>
    </tableColumn>
    <tableColumn id="12" xr3:uid="{4DD95515-6840-48FA-A536-FDB12D098C32}" name="Return Duration(hr)" dataDxfId="83">
      <calculatedColumnFormula>TEXT(N3-M3,"[hh]:mm")</calculatedColumnFormula>
    </tableColumn>
    <tableColumn id="29" xr3:uid="{F3197CE4-E3A7-4E73-B5CD-121E269BF2F5}" name="Trip Duration" dataDxfId="82">
      <calculatedColumnFormula>VALUE(LEFT(mar_20265[[#This Row],[Trip Duration(hr)]],FIND(":",mar_20265[[#This Row],[Trip Duration(hr)]])-1))/24 + VALUE(RIGHT(mar_20265[[#This Row],[Trip Duration(hr)]],2))/1440</calculatedColumnFormula>
    </tableColumn>
    <tableColumn id="13" xr3:uid="{8ED4C160-5386-4081-871D-651DE2A9B713}" name="Trip Duration(hr)" dataDxfId="81">
      <calculatedColumnFormula>TEXT(N3-G3,"[hh]:mm")</calculatedColumnFormula>
    </tableColumn>
    <tableColumn id="14" xr3:uid="{58ED8BA1-34A5-44BF-8386-CEBCF4B362DA}" name="Initial fuel" dataDxfId="80" dataCellStyle="Comma"/>
    <tableColumn id="15" xr3:uid="{7A3CD19B-C118-4B1A-9E9A-6478FD0F74A8}" name="Consumed" dataDxfId="79" dataCellStyle="Comma">
      <calculatedColumnFormula>S3+V3-Z3</calculatedColumnFormula>
    </tableColumn>
    <tableColumn id="20" xr3:uid="{006DA41C-F13B-4A29-BF8D-2860614C8150}" name="Consumed (IVMS)" dataDxfId="78" dataCellStyle="Comma">
      <calculatedColumnFormula>mar_20265[[#This Row],[Initial fuel]]+mar_20265[[#This Row],[System fillings]]-mar_20265[[#This Row],[Final ]]</calculatedColumnFormula>
    </tableColumn>
    <tableColumn id="16" xr3:uid="{D92F5512-B408-4995-AFDD-75534BC3564A}" name="Fuel Given " dataDxfId="77" dataCellStyle="Comma"/>
    <tableColumn id="17" xr3:uid="{DA71FA8D-F6B6-4048-8CF5-ED0D0616D269}" name="System fillings" dataDxfId="76" dataCellStyle="Comma"/>
    <tableColumn id="18" xr3:uid="{2CEAFB54-A535-44E8-A22E-BB26E62F38A9}" name="Differnce " dataDxfId="75" dataCellStyle="Comma">
      <calculatedColumnFormula>V3-W3</calculatedColumnFormula>
    </tableColumn>
    <tableColumn id="25" xr3:uid="{CFED8A16-7463-4680-BAD2-950223CCDF35}" name="Differnce (IVMS)" dataDxfId="74" dataCellStyle="Comma">
      <calculatedColumnFormula>mar_20265[[#This Row],[System fillings]]-mar_20265[[#This Row],[Consumed (IVMS)]]</calculatedColumnFormula>
    </tableColumn>
    <tableColumn id="19" xr3:uid="{E2A781B6-0BF7-4FDB-A3EF-D7EBA7D8D1C1}" name="Final " dataDxfId="73" dataCellStyle="Comma"/>
    <tableColumn id="24" xr3:uid="{31D53735-46FA-46FD-83C4-D4B97DD6CC86}" name="Expected Average" dataDxfId="72" dataCellStyle="Comma">
      <calculatedColumnFormula>_xlfn.XLOOKUP(mar_20265[[#This Row],[Vehicle Make]],eff[Vehicle Make],eff[Efficiency],)</calculatedColumnFormula>
    </tableColumn>
    <tableColumn id="21" xr3:uid="{E90566C9-8EC7-4D5B-BA36-D7676322F7D3}" name="Actual Average" dataDxfId="71" dataCellStyle="Comma">
      <calculatedColumnFormula>IFERROR(E3/T3,_xlfn.NUMBERVALUE(0))</calculatedColumnFormula>
    </tableColumn>
    <tableColumn id="34" xr3:uid="{7214FF2C-CFBC-4B30-9485-CC1E8F65AE50}" name="Actual Load(T)" dataDxfId="70" dataCellStyle="Comma"/>
    <tableColumn id="33" xr3:uid="{E97A2B9D-82B6-4184-B71F-6F829E20943D}" name="In_Weight" dataDxfId="69" dataCellStyle="Comma"/>
    <tableColumn id="23" xr3:uid="{A9170CD0-B7C3-4D81-9B13-E4739D054AB3}" name="Remarks" dataDxfId="68"/>
    <tableColumn id="30" xr3:uid="{D36964E1-40CE-45D8-A030-AE0A67D208BB}" name="Info" dataDxfId="6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89198B-42B3-4266-82B5-F25393FAC9DB}" name="trucks" displayName="trucks" ref="A1:B2" totalsRowShown="0" headerRowDxfId="66" dataDxfId="65">
  <autoFilter ref="A1:B2" xr:uid="{6989198B-42B3-4266-82B5-F25393FAC9DB}"/>
  <tableColumns count="2">
    <tableColumn id="1" xr3:uid="{98CDE6B7-9C49-49D3-B838-E2CE9E5862D9}" name="Vehicle Reg Number " dataDxfId="64"/>
    <tableColumn id="2" xr3:uid="{8EC5F8DE-4B4F-4F88-849A-2CD5E3D2BA1B}" name="Vehicle Make" dataDxfId="6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870D8-E1A6-403A-8BCA-BE0B0317AB70}" name="eff" displayName="eff" ref="H1:I2" totalsRowShown="0" headerRowDxfId="62" dataDxfId="60" headerRowBorderDxfId="61">
  <autoFilter ref="H1:I2" xr:uid="{D2E870D8-E1A6-403A-8BCA-BE0B0317AB70}"/>
  <tableColumns count="2">
    <tableColumn id="1" xr3:uid="{68D17903-6AD6-44FB-869C-4F4D8053E0D8}" name="Vehicle Make" dataDxfId="59"/>
    <tableColumn id="2" xr3:uid="{2E651833-100D-4207-864E-28E83B4C806C}" name="Efficiency" dataDxfId="5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6E7B8A-513C-4D58-B505-71C020C27C00}" name="regions" displayName="regions" ref="D1:E10" totalsRowShown="0" headerRowDxfId="57" dataDxfId="56">
  <autoFilter ref="D1:E10" xr:uid="{FF6E7B8A-513C-4D58-B505-71C020C27C00}"/>
  <tableColumns count="2">
    <tableColumn id="1" xr3:uid="{93F8FCAA-E5A7-4D7B-98DF-3F44735D1623}" name=" REGION" dataDxfId="55"/>
    <tableColumn id="2" xr3:uid="{E2E24741-ED8E-46AA-931C-6B4DF803EDC8}" name="DEPOT" dataDxfId="5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4D57-62F0-4B77-B03E-8345E30A1DE4}">
  <dimension ref="A1:AI879"/>
  <sheetViews>
    <sheetView showGridLines="0" tabSelected="1" zoomScale="85" zoomScaleNormal="85"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AF18" sqref="AF18"/>
    </sheetView>
  </sheetViews>
  <sheetFormatPr defaultColWidth="9.140625" defaultRowHeight="15" x14ac:dyDescent="0.25"/>
  <cols>
    <col min="1" max="1" width="16.140625" style="2" customWidth="1"/>
    <col min="2" max="2" width="11.140625" style="2" customWidth="1"/>
    <col min="3" max="3" width="17.28515625" style="2" bestFit="1" customWidth="1"/>
    <col min="4" max="4" width="13.140625" style="2" bestFit="1" customWidth="1"/>
    <col min="5" max="5" width="11.28515625" style="2" customWidth="1"/>
    <col min="6" max="6" width="9.7109375" style="2" customWidth="1"/>
    <col min="7" max="7" width="21" style="2" bestFit="1" customWidth="1"/>
    <col min="8" max="8" width="19" style="2" bestFit="1" customWidth="1"/>
    <col min="9" max="9" width="11" style="2" customWidth="1"/>
    <col min="10" max="10" width="13.85546875" style="2" customWidth="1"/>
    <col min="11" max="11" width="14.5703125" style="2" customWidth="1"/>
    <col min="12" max="12" width="14.140625" style="2" customWidth="1"/>
    <col min="13" max="13" width="18.140625" style="2" customWidth="1"/>
    <col min="14" max="14" width="18.85546875" style="2" customWidth="1"/>
    <col min="15" max="15" width="12" style="2" customWidth="1"/>
    <col min="16" max="16" width="13.140625" style="2" customWidth="1"/>
    <col min="17" max="17" width="11.7109375" style="2" customWidth="1"/>
    <col min="18" max="18" width="12.28515625" style="2" customWidth="1"/>
    <col min="19" max="19" width="10" style="2" customWidth="1"/>
    <col min="20" max="20" width="13" style="2" customWidth="1"/>
    <col min="21" max="21" width="12.7109375" style="2" customWidth="1"/>
    <col min="22" max="22" width="11.42578125" style="2" customWidth="1"/>
    <col min="23" max="23" width="8.28515625" style="2" customWidth="1"/>
    <col min="24" max="24" width="11.140625" style="2" customWidth="1"/>
    <col min="25" max="25" width="11" style="2" customWidth="1"/>
    <col min="26" max="26" width="10.7109375" style="2" customWidth="1"/>
    <col min="27" max="27" width="11.7109375" style="2" customWidth="1"/>
    <col min="28" max="28" width="10.42578125" style="2" customWidth="1"/>
    <col min="29" max="29" width="10.7109375" style="2" bestFit="1" customWidth="1"/>
    <col min="30" max="30" width="13.7109375" style="2" bestFit="1" customWidth="1"/>
    <col min="31" max="31" width="39.7109375" style="2" bestFit="1" customWidth="1"/>
    <col min="32" max="32" width="12.28515625" style="2" bestFit="1" customWidth="1"/>
    <col min="33" max="34" width="9.140625" style="2"/>
    <col min="35" max="35" width="10.42578125" style="2" bestFit="1" customWidth="1"/>
    <col min="36" max="16384" width="9.140625" style="2"/>
  </cols>
  <sheetData>
    <row r="1" spans="1:35" s="114" customFormat="1" ht="22.5" customHeight="1" x14ac:dyDescent="0.3">
      <c r="A1" s="119" t="s">
        <v>129</v>
      </c>
      <c r="B1" s="119"/>
      <c r="C1" s="119"/>
      <c r="D1" s="120"/>
      <c r="E1" s="116" t="s">
        <v>128</v>
      </c>
      <c r="F1" s="116"/>
      <c r="G1" s="119" t="s">
        <v>130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20"/>
      <c r="S1" s="116" t="s">
        <v>131</v>
      </c>
      <c r="T1" s="116"/>
      <c r="U1" s="116"/>
      <c r="V1" s="116"/>
      <c r="W1" s="116"/>
      <c r="X1" s="116"/>
      <c r="Y1" s="116"/>
      <c r="Z1" s="116"/>
      <c r="AA1" s="116"/>
      <c r="AB1" s="116"/>
      <c r="AC1" s="117" t="s">
        <v>132</v>
      </c>
      <c r="AD1" s="118"/>
      <c r="AE1" s="116" t="s">
        <v>133</v>
      </c>
      <c r="AF1" s="116"/>
    </row>
    <row r="2" spans="1:35" ht="41.25" customHeight="1" x14ac:dyDescent="0.25">
      <c r="A2" s="79" t="s">
        <v>0</v>
      </c>
      <c r="B2" s="79" t="s">
        <v>1</v>
      </c>
      <c r="C2" s="79" t="s">
        <v>2</v>
      </c>
      <c r="D2" s="79" t="s">
        <v>43</v>
      </c>
      <c r="E2" s="79" t="s">
        <v>3</v>
      </c>
      <c r="F2" s="79" t="s">
        <v>44</v>
      </c>
      <c r="G2" s="79" t="s">
        <v>4</v>
      </c>
      <c r="H2" s="79" t="s">
        <v>5</v>
      </c>
      <c r="I2" s="79" t="s">
        <v>6</v>
      </c>
      <c r="J2" s="79" t="s">
        <v>21</v>
      </c>
      <c r="K2" s="79" t="s">
        <v>7</v>
      </c>
      <c r="L2" s="79" t="s">
        <v>25</v>
      </c>
      <c r="M2" s="79" t="s">
        <v>8</v>
      </c>
      <c r="N2" s="79" t="s">
        <v>9</v>
      </c>
      <c r="O2" s="79" t="s">
        <v>10</v>
      </c>
      <c r="P2" s="79" t="s">
        <v>24</v>
      </c>
      <c r="Q2" s="79" t="s">
        <v>11</v>
      </c>
      <c r="R2" s="79" t="s">
        <v>23</v>
      </c>
      <c r="S2" s="79" t="s">
        <v>34</v>
      </c>
      <c r="T2" s="79" t="s">
        <v>12</v>
      </c>
      <c r="U2" s="79" t="s">
        <v>26</v>
      </c>
      <c r="V2" s="80" t="s">
        <v>13</v>
      </c>
      <c r="W2" s="80" t="s">
        <v>14</v>
      </c>
      <c r="X2" s="80" t="s">
        <v>15</v>
      </c>
      <c r="Y2" s="80" t="s">
        <v>27</v>
      </c>
      <c r="Z2" s="79" t="s">
        <v>16</v>
      </c>
      <c r="AA2" s="79" t="s">
        <v>22</v>
      </c>
      <c r="AB2" s="81" t="s">
        <v>17</v>
      </c>
      <c r="AC2" s="81" t="s">
        <v>121</v>
      </c>
      <c r="AD2" s="81" t="s">
        <v>122</v>
      </c>
      <c r="AE2" s="121" t="s">
        <v>18</v>
      </c>
      <c r="AF2" s="121" t="s">
        <v>39</v>
      </c>
    </row>
    <row r="3" spans="1:35" x14ac:dyDescent="0.25">
      <c r="A3" s="29" t="s">
        <v>19</v>
      </c>
      <c r="B3" s="3" t="str">
        <f>_xlfn.XLOOKUP(mar_20265[[#This Row],[Vehicle Reg Number ]],trucks[[Vehicle Reg Number ]],trucks[Vehicle Make],"")</f>
        <v xml:space="preserve">Faw </v>
      </c>
      <c r="C3" s="12" t="s">
        <v>83</v>
      </c>
      <c r="D3" s="12" t="str" cm="1">
        <f t="array" ref="D3">_xlfn.XLOOKUP(mar_20265[[#This Row],[Destination]],regions[[#All],[DEPOT]],regions[[#All],[ REGION]],"")</f>
        <v>North</v>
      </c>
      <c r="E3" s="1">
        <v>828.24</v>
      </c>
      <c r="F3" s="1">
        <v>48</v>
      </c>
      <c r="G3" s="24">
        <v>46207.23333333333</v>
      </c>
      <c r="H3" s="24">
        <v>46207.665173611109</v>
      </c>
      <c r="I3" s="25">
        <f>VALUE(LEFT(mar_20265[[#This Row],[Delivery Time(hr)]],FIND(":",mar_20265[[#This Row],[Delivery Time(hr)]])-1))/24 + VALUE(RIGHT(mar_20265[[#This Row],[Delivery Time(hr)]],2))/1440</f>
        <v>0.43125000000000002</v>
      </c>
      <c r="J3" s="4" t="str">
        <f>TEXT(H3-G3,"[hh]:mm")</f>
        <v>10:21</v>
      </c>
      <c r="K3" s="4">
        <f>VALUE(LEFT(mar_20265[[#This Row],[Parking Time-Depot(hr)]],FIND(":",mar_20265[[#This Row],[Parking Time-Depot(hr)]])-1))/24 + VALUE(RIGHT(mar_20265[[#This Row],[Parking Time-Depot(hr)]],2))/1440</f>
        <v>1.6645833333333333</v>
      </c>
      <c r="L3" s="4" t="str">
        <f>TEXT(M3-H3,"[hh]:mm")</f>
        <v>39:57</v>
      </c>
      <c r="M3" s="24">
        <v>46209.330127314817</v>
      </c>
      <c r="N3" s="24">
        <v>46209.719652777778</v>
      </c>
      <c r="O3" s="25">
        <f>VALUE(LEFT(mar_20265[[#This Row],[Return Duration(hr)]],FIND(":",mar_20265[[#This Row],[Return Duration(hr)]])-1))/24 + VALUE(RIGHT(mar_20265[[#This Row],[Return Duration(hr)]],2))/1440</f>
        <v>0.3888888888888889</v>
      </c>
      <c r="P3" s="26" t="str">
        <f>TEXT(N3-M3,"[hh]:mm")</f>
        <v>09:20</v>
      </c>
      <c r="Q3" s="27">
        <f>VALUE(LEFT(mar_20265[[#This Row],[Trip Duration(hr)]],FIND(":",mar_20265[[#This Row],[Trip Duration(hr)]])-1))/24 + VALUE(RIGHT(mar_20265[[#This Row],[Trip Duration(hr)]],2))/1440</f>
        <v>2.4861111111111112</v>
      </c>
      <c r="R3" s="4" t="str">
        <f>TEXT(N3-G3,"[hh]:mm")</f>
        <v>59:40</v>
      </c>
      <c r="S3" s="18">
        <v>225.15</v>
      </c>
      <c r="T3" s="18">
        <f>S3+V3-Z3</f>
        <v>296.25</v>
      </c>
      <c r="U3" s="8">
        <f>mar_20265[[#This Row],[Initial fuel]]+mar_20265[[#This Row],[System fillings]]-mar_20265[[#This Row],[Final ]]</f>
        <v>315.76</v>
      </c>
      <c r="V3" s="111">
        <v>330</v>
      </c>
      <c r="W3" s="18">
        <v>349.51</v>
      </c>
      <c r="X3" s="18">
        <f>V3-W3</f>
        <v>-19.509999999999991</v>
      </c>
      <c r="Y3" s="18">
        <f>mar_20265[[#This Row],[System fillings]]-mar_20265[[#This Row],[Consumed (IVMS)]]</f>
        <v>33.75</v>
      </c>
      <c r="Z3" s="19">
        <v>258.89999999999998</v>
      </c>
      <c r="AA3" s="28">
        <f>_xlfn.XLOOKUP(mar_20265[[#This Row],[Vehicle Make]],eff[Vehicle Make],eff[Efficiency],)</f>
        <v>2.2000000000000002</v>
      </c>
      <c r="AB3" s="107">
        <f>IFERROR(E3/T3,_xlfn.NUMBERVALUE(0))</f>
        <v>2.7957468354430381</v>
      </c>
      <c r="AC3" s="107">
        <v>29600</v>
      </c>
      <c r="AD3" s="107">
        <v>19100</v>
      </c>
      <c r="AE3" s="85"/>
      <c r="AF3" s="85"/>
      <c r="AI3" s="115"/>
    </row>
    <row r="4" spans="1:35" x14ac:dyDescent="0.25">
      <c r="A4" s="29" t="s">
        <v>19</v>
      </c>
      <c r="B4" s="3" t="str">
        <f>_xlfn.XLOOKUP(mar_20265[[#This Row],[Vehicle Reg Number ]],trucks[[Vehicle Reg Number ]],trucks[Vehicle Make],"")</f>
        <v xml:space="preserve">Faw </v>
      </c>
      <c r="C4" s="3" t="s">
        <v>84</v>
      </c>
      <c r="D4" s="3" t="str" cm="1">
        <f t="array" ref="D4">_xlfn.XLOOKUP(mar_20265[[#This Row],[Destination]],regions[[#All],[DEPOT]],regions[[#All],[ REGION]],"")</f>
        <v>Western</v>
      </c>
      <c r="E4" s="109">
        <v>414.19</v>
      </c>
      <c r="F4" s="1">
        <v>45</v>
      </c>
      <c r="G4" s="13">
        <v>46210.179803240739</v>
      </c>
      <c r="H4" s="13">
        <v>46210.414421296293</v>
      </c>
      <c r="I4" s="5">
        <f>VALUE(LEFT(mar_20265[[#This Row],[Delivery Time(hr)]],FIND(":",mar_20265[[#This Row],[Delivery Time(hr)]])-1))/24 + VALUE(RIGHT(mar_20265[[#This Row],[Delivery Time(hr)]],2))/1440</f>
        <v>0.23402777777777778</v>
      </c>
      <c r="J4" s="6" t="str">
        <f t="shared" ref="J4:J13" si="0">TEXT(H4-G4,"[hh]:mm")</f>
        <v>05:37</v>
      </c>
      <c r="K4" s="5">
        <f>VALUE(LEFT(mar_20265[[#This Row],[Parking Time-Depot(hr)]],FIND(":",mar_20265[[#This Row],[Parking Time-Depot(hr)]])-1))/24 + VALUE(RIGHT(mar_20265[[#This Row],[Parking Time-Depot(hr)]],2))/1440</f>
        <v>0.39444444444444443</v>
      </c>
      <c r="L4" s="6" t="str">
        <f t="shared" ref="L4:L13" si="1">TEXT(M4-H4,"[hh]:mm")</f>
        <v>09:28</v>
      </c>
      <c r="M4" s="13">
        <v>46210.808877314812</v>
      </c>
      <c r="N4" s="13">
        <v>46211.341168981482</v>
      </c>
      <c r="O4" s="5">
        <f>VALUE(LEFT(mar_20265[[#This Row],[Return Duration(hr)]],FIND(":",mar_20265[[#This Row],[Return Duration(hr)]])-1))/24 + VALUE(RIGHT(mar_20265[[#This Row],[Return Duration(hr)]],2))/1440</f>
        <v>0.53194444444444444</v>
      </c>
      <c r="P4" s="7" t="str">
        <f t="shared" ref="P4:P13" si="2">TEXT(N4-M4,"[hh]:mm")</f>
        <v>12:46</v>
      </c>
      <c r="Q4" s="5">
        <f>VALUE(LEFT(mar_20265[[#This Row],[Trip Duration(hr)]],FIND(":",mar_20265[[#This Row],[Trip Duration(hr)]])-1))/24 + VALUE(RIGHT(mar_20265[[#This Row],[Trip Duration(hr)]],2))/1440</f>
        <v>1.1611111111111112</v>
      </c>
      <c r="R4" s="6" t="str">
        <f t="shared" ref="R4:R13" si="3">TEXT(N4-G4,"[hh]:mm")</f>
        <v>27:52</v>
      </c>
      <c r="S4" s="8">
        <v>258.89999999999998</v>
      </c>
      <c r="T4" s="8">
        <f t="shared" ref="T4:T13" si="4">S4+V4-Z4</f>
        <v>164.2</v>
      </c>
      <c r="U4" s="8">
        <f>mar_20265[[#This Row],[Initial fuel]]+mar_20265[[#This Row],[System fillings]]-mar_20265[[#This Row],[Final ]]</f>
        <v>165.17000000000002</v>
      </c>
      <c r="V4" s="112">
        <v>170</v>
      </c>
      <c r="W4" s="8">
        <v>170.97</v>
      </c>
      <c r="X4" s="8">
        <f>V4-W4</f>
        <v>-0.96999999999999886</v>
      </c>
      <c r="Y4" s="8">
        <f>mar_20265[[#This Row],[System fillings]]-mar_20265[[#This Row],[Consumed (IVMS)]]</f>
        <v>5.7999999999999829</v>
      </c>
      <c r="Z4" s="9">
        <v>264.7</v>
      </c>
      <c r="AA4" s="10">
        <f>_xlfn.XLOOKUP(mar_20265[[#This Row],[Vehicle Make]],eff[Vehicle Make],eff[Efficiency],)</f>
        <v>2.2000000000000002</v>
      </c>
      <c r="AB4" s="83">
        <f t="shared" ref="AB4:AB13" si="5">IFERROR(E4/T4,_xlfn.NUMBERVALUE(0))</f>
        <v>2.5224725943970769</v>
      </c>
      <c r="AC4" s="83">
        <v>30160</v>
      </c>
      <c r="AD4" s="83">
        <v>19120</v>
      </c>
      <c r="AE4" s="85"/>
      <c r="AF4" s="85"/>
    </row>
    <row r="5" spans="1:35" x14ac:dyDescent="0.25">
      <c r="A5" s="29" t="s">
        <v>19</v>
      </c>
      <c r="B5" s="3" t="str">
        <f>_xlfn.XLOOKUP(mar_20265[[#This Row],[Vehicle Reg Number ]],trucks[[Vehicle Reg Number ]],trucks[Vehicle Make],"")</f>
        <v xml:space="preserve">Faw </v>
      </c>
      <c r="C5" s="12" t="s">
        <v>85</v>
      </c>
      <c r="D5" s="12" t="str" cm="1">
        <f t="array" ref="D5">_xlfn.XLOOKUP(mar_20265[[#This Row],[Destination]],regions[[#All],[DEPOT]],regions[[#All],[ REGION]],"")</f>
        <v>Eastern</v>
      </c>
      <c r="E5" s="1">
        <v>928.42</v>
      </c>
      <c r="F5" s="1">
        <v>41</v>
      </c>
      <c r="G5" s="13">
        <v>46212.174050925925</v>
      </c>
      <c r="H5" s="13">
        <v>46212.726620370369</v>
      </c>
      <c r="I5" s="14">
        <f>VALUE(LEFT(mar_20265[[#This Row],[Delivery Time(hr)]],FIND(":",mar_20265[[#This Row],[Delivery Time(hr)]])-1))/24 + VALUE(RIGHT(mar_20265[[#This Row],[Delivery Time(hr)]],2))/1440</f>
        <v>0.55208333333333326</v>
      </c>
      <c r="J5" s="15" t="str">
        <f t="shared" si="0"/>
        <v>13:15</v>
      </c>
      <c r="K5" s="14">
        <f>VALUE(LEFT(mar_20265[[#This Row],[Parking Time-Depot(hr)]],FIND(":",mar_20265[[#This Row],[Parking Time-Depot(hr)]])-1))/24 + VALUE(RIGHT(mar_20265[[#This Row],[Parking Time-Depot(hr)]],2))/1440</f>
        <v>0.86250000000000004</v>
      </c>
      <c r="L5" s="15" t="str">
        <f t="shared" si="1"/>
        <v>20:42</v>
      </c>
      <c r="M5" s="13">
        <v>46213.589236111111</v>
      </c>
      <c r="N5" s="13">
        <v>46214.305208333331</v>
      </c>
      <c r="O5" s="14">
        <f>VALUE(LEFT(mar_20265[[#This Row],[Return Duration(hr)]],FIND(":",mar_20265[[#This Row],[Return Duration(hr)]])-1))/24 + VALUE(RIGHT(mar_20265[[#This Row],[Return Duration(hr)]],2))/1440</f>
        <v>0.71597222222222223</v>
      </c>
      <c r="P5" s="16" t="str">
        <f t="shared" si="2"/>
        <v>17:11</v>
      </c>
      <c r="Q5" s="17">
        <f>VALUE(LEFT(mar_20265[[#This Row],[Trip Duration(hr)]],FIND(":",mar_20265[[#This Row],[Trip Duration(hr)]])-1))/24 + VALUE(RIGHT(mar_20265[[#This Row],[Trip Duration(hr)]],2))/1440</f>
        <v>2.1305555555555555</v>
      </c>
      <c r="R5" s="15" t="str">
        <f t="shared" si="3"/>
        <v>51:08</v>
      </c>
      <c r="S5" s="18">
        <v>264.89999999999998</v>
      </c>
      <c r="T5" s="18">
        <f t="shared" si="4"/>
        <v>338.22999999999996</v>
      </c>
      <c r="U5" s="8">
        <f>mar_20265[[#This Row],[Initial fuel]]+mar_20265[[#This Row],[System fillings]]-mar_20265[[#This Row],[Final ]]</f>
        <v>358.92999999999989</v>
      </c>
      <c r="V5" s="111">
        <v>380</v>
      </c>
      <c r="W5" s="18">
        <v>400.7</v>
      </c>
      <c r="X5" s="18">
        <f t="shared" ref="X5:X13" si="6">V5-W5</f>
        <v>-20.699999999999989</v>
      </c>
      <c r="Y5" s="18">
        <f>mar_20265[[#This Row],[System fillings]]-mar_20265[[#This Row],[Consumed (IVMS)]]</f>
        <v>41.770000000000095</v>
      </c>
      <c r="Z5" s="19">
        <v>306.67</v>
      </c>
      <c r="AA5" s="10">
        <f>_xlfn.XLOOKUP(mar_20265[[#This Row],[Vehicle Make]],eff[Vehicle Make],eff[Efficiency],)</f>
        <v>2.2000000000000002</v>
      </c>
      <c r="AB5" s="84">
        <f t="shared" si="5"/>
        <v>2.744936877272862</v>
      </c>
      <c r="AC5" s="84">
        <v>29660</v>
      </c>
      <c r="AD5" s="84">
        <v>19160</v>
      </c>
      <c r="AE5" s="85"/>
      <c r="AF5" s="85"/>
    </row>
    <row r="6" spans="1:35" x14ac:dyDescent="0.25">
      <c r="A6" s="29" t="s">
        <v>19</v>
      </c>
      <c r="B6" s="3" t="str">
        <f>_xlfn.XLOOKUP(mar_20265[[#This Row],[Vehicle Reg Number ]],trucks[[Vehicle Reg Number ]],trucks[Vehicle Make],"")</f>
        <v xml:space="preserve">Faw </v>
      </c>
      <c r="C6" s="12" t="s">
        <v>86</v>
      </c>
      <c r="D6" s="12" t="str" cm="1">
        <f t="array" ref="D6">_xlfn.XLOOKUP(mar_20265[[#This Row],[Destination]],regions[[#All],[DEPOT]],regions[[#All],[ REGION]],"")</f>
        <v>South</v>
      </c>
      <c r="E6" s="1">
        <v>842.67</v>
      </c>
      <c r="F6" s="1">
        <v>35</v>
      </c>
      <c r="G6" s="13">
        <v>46215.354467592595</v>
      </c>
      <c r="H6" s="13">
        <v>46215.955694444441</v>
      </c>
      <c r="I6" s="14">
        <f>VALUE(LEFT(mar_20265[[#This Row],[Delivery Time(hr)]],FIND(":",mar_20265[[#This Row],[Delivery Time(hr)]])-1))/24 + VALUE(RIGHT(mar_20265[[#This Row],[Delivery Time(hr)]],2))/1440</f>
        <v>0.60069444444444453</v>
      </c>
      <c r="J6" s="15" t="str">
        <f t="shared" si="0"/>
        <v>14:25</v>
      </c>
      <c r="K6" s="14">
        <f>VALUE(LEFT(mar_20265[[#This Row],[Parking Time-Depot(hr)]],FIND(":",mar_20265[[#This Row],[Parking Time-Depot(hr)]])-1))/24 + VALUE(RIGHT(mar_20265[[#This Row],[Parking Time-Depot(hr)]],2))/1440</f>
        <v>0.81041666666666667</v>
      </c>
      <c r="L6" s="15" t="str">
        <f t="shared" si="1"/>
        <v>19:27</v>
      </c>
      <c r="M6" s="13">
        <v>46216.766250000001</v>
      </c>
      <c r="N6" s="13">
        <v>46217.546423611115</v>
      </c>
      <c r="O6" s="14">
        <f>VALUE(LEFT(mar_20265[[#This Row],[Return Duration(hr)]],FIND(":",mar_20265[[#This Row],[Return Duration(hr)]])-1))/24 + VALUE(RIGHT(mar_20265[[#This Row],[Return Duration(hr)]],2))/1440</f>
        <v>0.77986111111111112</v>
      </c>
      <c r="P6" s="16" t="str">
        <f t="shared" si="2"/>
        <v>18:43</v>
      </c>
      <c r="Q6" s="17">
        <f>VALUE(LEFT(mar_20265[[#This Row],[Trip Duration(hr)]],FIND(":",mar_20265[[#This Row],[Trip Duration(hr)]])-1))/24 + VALUE(RIGHT(mar_20265[[#This Row],[Trip Duration(hr)]],2))/1440</f>
        <v>2.1916666666666664</v>
      </c>
      <c r="R6" s="15" t="str">
        <f t="shared" si="3"/>
        <v>52:36</v>
      </c>
      <c r="S6" s="18">
        <v>306.66000000000003</v>
      </c>
      <c r="T6" s="18">
        <f t="shared" si="4"/>
        <v>416.66000000000008</v>
      </c>
      <c r="U6" s="8">
        <f>mar_20265[[#This Row],[Initial fuel]]+mar_20265[[#This Row],[System fillings]]-mar_20265[[#This Row],[Final ]]</f>
        <v>428.6400000000001</v>
      </c>
      <c r="V6" s="111">
        <v>390</v>
      </c>
      <c r="W6" s="18">
        <v>401.98</v>
      </c>
      <c r="X6" s="18">
        <f t="shared" si="6"/>
        <v>-11.980000000000018</v>
      </c>
      <c r="Y6" s="18">
        <f>mar_20265[[#This Row],[System fillings]]-mar_20265[[#This Row],[Consumed (IVMS)]]</f>
        <v>-26.660000000000082</v>
      </c>
      <c r="Z6" s="19">
        <v>280</v>
      </c>
      <c r="AA6" s="10">
        <f>_xlfn.XLOOKUP(mar_20265[[#This Row],[Vehicle Make]],eff[Vehicle Make],eff[Efficiency],)</f>
        <v>2.2000000000000002</v>
      </c>
      <c r="AB6" s="84">
        <f t="shared" si="5"/>
        <v>2.0224403590457443</v>
      </c>
      <c r="AC6" s="84">
        <v>29240</v>
      </c>
      <c r="AD6" s="84">
        <v>19080</v>
      </c>
      <c r="AE6" s="85" t="s">
        <v>87</v>
      </c>
      <c r="AF6" s="85"/>
    </row>
    <row r="7" spans="1:35" x14ac:dyDescent="0.25">
      <c r="A7" s="29" t="s">
        <v>19</v>
      </c>
      <c r="B7" s="3" t="str">
        <f>_xlfn.XLOOKUP(mar_20265[[#This Row],[Vehicle Reg Number ]],trucks[[Vehicle Reg Number ]],trucks[Vehicle Make],"")</f>
        <v xml:space="preserve">Faw </v>
      </c>
      <c r="C7" s="12" t="s">
        <v>88</v>
      </c>
      <c r="D7" s="12" t="str" cm="1">
        <f t="array" ref="D7">_xlfn.XLOOKUP(mar_20265[[#This Row],[Destination]],regions[[#All],[DEPOT]],regions[[#All],[ REGION]],"")</f>
        <v>South</v>
      </c>
      <c r="E7" s="1">
        <v>805.16</v>
      </c>
      <c r="F7" s="1">
        <v>38</v>
      </c>
      <c r="G7" s="13">
        <v>46218.19363425926</v>
      </c>
      <c r="H7" s="13">
        <v>46218.773263888892</v>
      </c>
      <c r="I7" s="14">
        <f>VALUE(LEFT(mar_20265[[#This Row],[Delivery Time(hr)]],FIND(":",mar_20265[[#This Row],[Delivery Time(hr)]])-1))/24 + VALUE(RIGHT(mar_20265[[#This Row],[Delivery Time(hr)]],2))/1440</f>
        <v>0.57916666666666661</v>
      </c>
      <c r="J7" s="15" t="str">
        <f t="shared" si="0"/>
        <v>13:54</v>
      </c>
      <c r="K7" s="14">
        <f>VALUE(LEFT(mar_20265[[#This Row],[Parking Time-Depot(hr)]],FIND(":",mar_20265[[#This Row],[Parking Time-Depot(hr)]])-1))/24 + VALUE(RIGHT(mar_20265[[#This Row],[Parking Time-Depot(hr)]],2))/1440</f>
        <v>0.70555555555555549</v>
      </c>
      <c r="L7" s="15" t="str">
        <f t="shared" si="1"/>
        <v>16:56</v>
      </c>
      <c r="M7" s="13">
        <v>46219.479247685187</v>
      </c>
      <c r="N7" s="13">
        <v>46220.483564814815</v>
      </c>
      <c r="O7" s="14">
        <f>VALUE(LEFT(mar_20265[[#This Row],[Return Duration(hr)]],FIND(":",mar_20265[[#This Row],[Return Duration(hr)]])-1))/24 + VALUE(RIGHT(mar_20265[[#This Row],[Return Duration(hr)]],2))/1440</f>
        <v>1.0041666666666667</v>
      </c>
      <c r="P7" s="16" t="str">
        <f t="shared" si="2"/>
        <v>24:06</v>
      </c>
      <c r="Q7" s="17">
        <f>VALUE(LEFT(mar_20265[[#This Row],[Trip Duration(hr)]],FIND(":",mar_20265[[#This Row],[Trip Duration(hr)]])-1))/24 + VALUE(RIGHT(mar_20265[[#This Row],[Trip Duration(hr)]],2))/1440</f>
        <v>2.2895833333333333</v>
      </c>
      <c r="R7" s="15" t="str">
        <f t="shared" si="3"/>
        <v>54:57</v>
      </c>
      <c r="S7" s="18">
        <v>274.22000000000003</v>
      </c>
      <c r="T7" s="18">
        <f t="shared" si="4"/>
        <v>368.22</v>
      </c>
      <c r="U7" s="8">
        <f>mar_20265[[#This Row],[Initial fuel]]+mar_20265[[#This Row],[System fillings]]-mar_20265[[#This Row],[Final ]]</f>
        <v>378.78</v>
      </c>
      <c r="V7" s="111">
        <v>360</v>
      </c>
      <c r="W7" s="18">
        <v>370.56</v>
      </c>
      <c r="X7" s="18">
        <f t="shared" si="6"/>
        <v>-10.560000000000002</v>
      </c>
      <c r="Y7" s="18">
        <f>mar_20265[[#This Row],[System fillings]]-mar_20265[[#This Row],[Consumed (IVMS)]]</f>
        <v>-8.2199999999999704</v>
      </c>
      <c r="Z7" s="19">
        <v>266</v>
      </c>
      <c r="AA7" s="10">
        <f>_xlfn.XLOOKUP(mar_20265[[#This Row],[Vehicle Make]],eff[Vehicle Make],eff[Efficiency],)</f>
        <v>2.2000000000000002</v>
      </c>
      <c r="AB7" s="84">
        <f t="shared" si="5"/>
        <v>2.186627559611102</v>
      </c>
      <c r="AC7" s="84">
        <v>29400</v>
      </c>
      <c r="AD7" s="84">
        <v>19140</v>
      </c>
      <c r="AE7" s="85" t="s">
        <v>87</v>
      </c>
      <c r="AF7" s="85"/>
    </row>
    <row r="8" spans="1:35" x14ac:dyDescent="0.25">
      <c r="A8" s="29" t="s">
        <v>19</v>
      </c>
      <c r="B8" s="3" t="str">
        <f>_xlfn.XLOOKUP(mar_20265[[#This Row],[Vehicle Reg Number ]],trucks[[Vehicle Reg Number ]],trucks[Vehicle Make],"")</f>
        <v xml:space="preserve">Faw </v>
      </c>
      <c r="C8" s="12" t="s">
        <v>89</v>
      </c>
      <c r="D8" s="12" t="str" cm="1">
        <f t="array" ref="D8">_xlfn.XLOOKUP(mar_20265[[#This Row],[Destination]],regions[[#All],[DEPOT]],regions[[#All],[ REGION]],"")</f>
        <v>West Nile</v>
      </c>
      <c r="E8" s="1">
        <v>977.48</v>
      </c>
      <c r="F8" s="1">
        <v>37</v>
      </c>
      <c r="G8" s="13">
        <v>46221.272592592592</v>
      </c>
      <c r="H8" s="13">
        <v>46221.815567129626</v>
      </c>
      <c r="I8" s="14">
        <f>VALUE(LEFT(mar_20265[[#This Row],[Delivery Time(hr)]],FIND(":",mar_20265[[#This Row],[Delivery Time(hr)]])-1))/24 + VALUE(RIGHT(mar_20265[[#This Row],[Delivery Time(hr)]],2))/1440</f>
        <v>0.54236111111111107</v>
      </c>
      <c r="J8" s="15" t="str">
        <f t="shared" si="0"/>
        <v>13:01</v>
      </c>
      <c r="K8" s="14">
        <f>VALUE(LEFT(mar_20265[[#This Row],[Parking Time-Depot(hr)]],FIND(":",mar_20265[[#This Row],[Parking Time-Depot(hr)]])-1))/24 + VALUE(RIGHT(mar_20265[[#This Row],[Parking Time-Depot(hr)]],2))/1440</f>
        <v>0.86388888888888893</v>
      </c>
      <c r="L8" s="15" t="str">
        <f t="shared" si="1"/>
        <v>20:44</v>
      </c>
      <c r="M8" s="13">
        <v>46222.680081018516</v>
      </c>
      <c r="N8" s="13">
        <v>46223.525358796294</v>
      </c>
      <c r="O8" s="14">
        <f>VALUE(LEFT(mar_20265[[#This Row],[Return Duration(hr)]],FIND(":",mar_20265[[#This Row],[Return Duration(hr)]])-1))/24 + VALUE(RIGHT(mar_20265[[#This Row],[Return Duration(hr)]],2))/1440</f>
        <v>0.84513888888888888</v>
      </c>
      <c r="P8" s="16" t="str">
        <f t="shared" si="2"/>
        <v>20:17</v>
      </c>
      <c r="Q8" s="17">
        <f>VALUE(LEFT(mar_20265[[#This Row],[Trip Duration(hr)]],FIND(":",mar_20265[[#This Row],[Trip Duration(hr)]])-1))/24 + VALUE(RIGHT(mar_20265[[#This Row],[Trip Duration(hr)]],2))/1440</f>
        <v>2.2520833333333332</v>
      </c>
      <c r="R8" s="15" t="str">
        <f t="shared" si="3"/>
        <v>54:03</v>
      </c>
      <c r="S8" s="18">
        <v>266</v>
      </c>
      <c r="T8" s="18">
        <f t="shared" si="4"/>
        <v>414.33</v>
      </c>
      <c r="U8" s="8">
        <f>mar_20265[[#This Row],[Initial fuel]]+mar_20265[[#This Row],[System fillings]]-mar_20265[[#This Row],[Final ]]</f>
        <v>425.33</v>
      </c>
      <c r="V8" s="111">
        <v>450</v>
      </c>
      <c r="W8" s="18">
        <v>461</v>
      </c>
      <c r="X8" s="18">
        <f t="shared" si="6"/>
        <v>-11</v>
      </c>
      <c r="Y8" s="18">
        <f>mar_20265[[#This Row],[System fillings]]-mar_20265[[#This Row],[Consumed (IVMS)]]</f>
        <v>35.670000000000016</v>
      </c>
      <c r="Z8" s="19">
        <v>301.67</v>
      </c>
      <c r="AA8" s="10">
        <f>_xlfn.XLOOKUP(mar_20265[[#This Row],[Vehicle Make]],eff[Vehicle Make],eff[Efficiency],)</f>
        <v>2.2000000000000002</v>
      </c>
      <c r="AB8" s="84">
        <f t="shared" si="5"/>
        <v>2.3591822943064709</v>
      </c>
      <c r="AC8" s="84">
        <v>28600</v>
      </c>
      <c r="AD8" s="84">
        <v>19180</v>
      </c>
      <c r="AE8" s="85" t="s">
        <v>87</v>
      </c>
      <c r="AF8" s="85"/>
    </row>
    <row r="9" spans="1:35" x14ac:dyDescent="0.25">
      <c r="A9" s="29" t="s">
        <v>19</v>
      </c>
      <c r="B9" s="3" t="str">
        <f>_xlfn.XLOOKUP(mar_20265[[#This Row],[Vehicle Reg Number ]],trucks[[Vehicle Reg Number ]],trucks[Vehicle Make],"")</f>
        <v xml:space="preserve">Faw </v>
      </c>
      <c r="C9" s="12" t="s">
        <v>90</v>
      </c>
      <c r="D9" s="12" t="str" cm="1">
        <f t="array" ref="D9">_xlfn.XLOOKUP(mar_20265[[#This Row],[Destination]],regions[[#All],[DEPOT]],regions[[#All],[ REGION]],"")</f>
        <v>Eastern</v>
      </c>
      <c r="E9" s="1">
        <v>316.33</v>
      </c>
      <c r="F9" s="1">
        <v>30</v>
      </c>
      <c r="G9" s="13">
        <v>46225.178252314814</v>
      </c>
      <c r="H9" s="13">
        <v>46225.388136574074</v>
      </c>
      <c r="I9" s="14">
        <f>VALUE(LEFT(mar_20265[[#This Row],[Delivery Time(hr)]],FIND(":",mar_20265[[#This Row],[Delivery Time(hr)]])-1))/24 + VALUE(RIGHT(mar_20265[[#This Row],[Delivery Time(hr)]],2))/1440</f>
        <v>0.20972222222222223</v>
      </c>
      <c r="J9" s="15" t="str">
        <f t="shared" si="0"/>
        <v>05:02</v>
      </c>
      <c r="K9" s="14">
        <f>VALUE(LEFT(mar_20265[[#This Row],[Parking Time-Depot(hr)]],FIND(":",mar_20265[[#This Row],[Parking Time-Depot(hr)]])-1))/24 + VALUE(RIGHT(mar_20265[[#This Row],[Parking Time-Depot(hr)]],2))/1440</f>
        <v>0.19444444444444442</v>
      </c>
      <c r="L9" s="15" t="str">
        <f t="shared" si="1"/>
        <v>04:40</v>
      </c>
      <c r="M9" s="13">
        <v>46225.583009259259</v>
      </c>
      <c r="N9" s="13">
        <v>46225.836192129631</v>
      </c>
      <c r="O9" s="14">
        <f>VALUE(LEFT(mar_20265[[#This Row],[Return Duration(hr)]],FIND(":",mar_20265[[#This Row],[Return Duration(hr)]])-1))/24 + VALUE(RIGHT(mar_20265[[#This Row],[Return Duration(hr)]],2))/1440</f>
        <v>0.25277777777777777</v>
      </c>
      <c r="P9" s="16" t="str">
        <f t="shared" si="2"/>
        <v>06:04</v>
      </c>
      <c r="Q9" s="17">
        <f>VALUE(LEFT(mar_20265[[#This Row],[Trip Duration(hr)]],FIND(":",mar_20265[[#This Row],[Trip Duration(hr)]])-1))/24 + VALUE(RIGHT(mar_20265[[#This Row],[Trip Duration(hr)]],2))/1440</f>
        <v>0.65763888888888888</v>
      </c>
      <c r="R9" s="15" t="str">
        <f t="shared" si="3"/>
        <v>15:47</v>
      </c>
      <c r="S9" s="18">
        <v>288.95</v>
      </c>
      <c r="T9" s="18">
        <f t="shared" si="4"/>
        <v>139.94999999999999</v>
      </c>
      <c r="U9" s="8">
        <f>mar_20265[[#This Row],[Initial fuel]]+mar_20265[[#This Row],[System fillings]]-mar_20265[[#This Row],[Final ]]</f>
        <v>145.41999999999996</v>
      </c>
      <c r="V9" s="111">
        <v>140</v>
      </c>
      <c r="W9" s="18">
        <v>145.47</v>
      </c>
      <c r="X9" s="18">
        <f t="shared" si="6"/>
        <v>-5.4699999999999989</v>
      </c>
      <c r="Y9" s="18">
        <f>mar_20265[[#This Row],[System fillings]]-mar_20265[[#This Row],[Consumed (IVMS)]]</f>
        <v>5.000000000003979E-2</v>
      </c>
      <c r="Z9" s="19">
        <v>289</v>
      </c>
      <c r="AA9" s="10">
        <f>_xlfn.XLOOKUP(mar_20265[[#This Row],[Vehicle Make]],eff[Vehicle Make],eff[Efficiency],)</f>
        <v>2.2000000000000002</v>
      </c>
      <c r="AB9" s="84">
        <f t="shared" si="5"/>
        <v>2.260307252590211</v>
      </c>
      <c r="AC9" s="84">
        <v>29900</v>
      </c>
      <c r="AD9" s="84">
        <v>19160</v>
      </c>
      <c r="AE9" s="85"/>
      <c r="AF9" s="85"/>
    </row>
    <row r="10" spans="1:35" x14ac:dyDescent="0.25">
      <c r="A10" s="29" t="s">
        <v>19</v>
      </c>
      <c r="B10" s="3" t="str">
        <f>_xlfn.XLOOKUP(mar_20265[[#This Row],[Vehicle Reg Number ]],trucks[[Vehicle Reg Number ]],trucks[Vehicle Make],"")</f>
        <v xml:space="preserve">Faw </v>
      </c>
      <c r="C10" s="12" t="s">
        <v>86</v>
      </c>
      <c r="D10" s="12" t="str" cm="1">
        <f t="array" ref="D10">_xlfn.XLOOKUP(mar_20265[[#This Row],[Destination]],regions[[#All],[DEPOT]],regions[[#All],[ REGION]],"")</f>
        <v>South</v>
      </c>
      <c r="E10" s="1">
        <v>842.14</v>
      </c>
      <c r="F10" s="1">
        <v>32</v>
      </c>
      <c r="G10" s="13">
        <v>46227.193310185183</v>
      </c>
      <c r="H10" s="13">
        <v>46227.954675925925</v>
      </c>
      <c r="I10" s="14">
        <f>VALUE(LEFT(mar_20265[[#This Row],[Delivery Time(hr)]],FIND(":",mar_20265[[#This Row],[Delivery Time(hr)]])-1))/24 + VALUE(RIGHT(mar_20265[[#This Row],[Delivery Time(hr)]],2))/1440</f>
        <v>0.76111111111111107</v>
      </c>
      <c r="J10" s="15" t="str">
        <f t="shared" si="0"/>
        <v>18:16</v>
      </c>
      <c r="K10" s="14">
        <f>VALUE(LEFT(mar_20265[[#This Row],[Parking Time-Depot(hr)]],FIND(":",mar_20265[[#This Row],[Parking Time-Depot(hr)]])-1))/24 + VALUE(RIGHT(mar_20265[[#This Row],[Parking Time-Depot(hr)]],2))/1440</f>
        <v>0.76111111111111107</v>
      </c>
      <c r="L10" s="15" t="str">
        <f t="shared" si="1"/>
        <v>18:16</v>
      </c>
      <c r="M10" s="13">
        <v>46228.715787037036</v>
      </c>
      <c r="N10" s="13">
        <v>46229.599490740744</v>
      </c>
      <c r="O10" s="14">
        <f>VALUE(LEFT(mar_20265[[#This Row],[Return Duration(hr)]],FIND(":",mar_20265[[#This Row],[Return Duration(hr)]])-1))/24 + VALUE(RIGHT(mar_20265[[#This Row],[Return Duration(hr)]],2))/1440</f>
        <v>0.8833333333333333</v>
      </c>
      <c r="P10" s="16" t="str">
        <f t="shared" si="2"/>
        <v>21:12</v>
      </c>
      <c r="Q10" s="17">
        <f>VALUE(LEFT(mar_20265[[#This Row],[Trip Duration(hr)]],FIND(":",mar_20265[[#This Row],[Trip Duration(hr)]])-1))/24 + VALUE(RIGHT(mar_20265[[#This Row],[Trip Duration(hr)]],2))/1440</f>
        <v>2.4055555555555554</v>
      </c>
      <c r="R10" s="15" t="str">
        <f t="shared" si="3"/>
        <v>57:44</v>
      </c>
      <c r="S10" s="18">
        <v>286.87</v>
      </c>
      <c r="T10" s="18">
        <f t="shared" si="4"/>
        <v>434.07</v>
      </c>
      <c r="U10" s="8">
        <f>mar_20265[[#This Row],[Initial fuel]]+mar_20265[[#This Row],[System fillings]]-mar_20265[[#This Row],[Final ]]</f>
        <v>444.96999999999997</v>
      </c>
      <c r="V10" s="111">
        <v>290</v>
      </c>
      <c r="W10" s="18">
        <v>300.89999999999998</v>
      </c>
      <c r="X10" s="18">
        <f t="shared" si="6"/>
        <v>-10.899999999999977</v>
      </c>
      <c r="Y10" s="18">
        <f>mar_20265[[#This Row],[System fillings]]-mar_20265[[#This Row],[Consumed (IVMS)]]</f>
        <v>-144.07</v>
      </c>
      <c r="Z10" s="19">
        <v>142.80000000000001</v>
      </c>
      <c r="AA10" s="10">
        <f>_xlfn.XLOOKUP(mar_20265[[#This Row],[Vehicle Make]],eff[Vehicle Make],eff[Efficiency],)</f>
        <v>2.2000000000000002</v>
      </c>
      <c r="AB10" s="84">
        <f>IFERROR(E10/T10,_xlfn.NUMBERVALUE(0))</f>
        <v>1.9401018268942798</v>
      </c>
      <c r="AC10" s="84">
        <v>29760</v>
      </c>
      <c r="AD10" s="84">
        <v>19060</v>
      </c>
      <c r="AE10" s="86"/>
      <c r="AF10" s="85"/>
    </row>
    <row r="11" spans="1:35" x14ac:dyDescent="0.25">
      <c r="A11" s="90" t="s">
        <v>19</v>
      </c>
      <c r="B11" s="91" t="str">
        <f>_xlfn.XLOOKUP(mar_20265[[#This Row],[Vehicle Reg Number ]],trucks[[Vehicle Reg Number ]],trucks[Vehicle Make],"")</f>
        <v xml:space="preserve">Faw </v>
      </c>
      <c r="C11" s="92" t="s">
        <v>84</v>
      </c>
      <c r="D11" s="92" t="str" cm="1">
        <f t="array" ref="D11">_xlfn.XLOOKUP(mar_20265[[#This Row],[Destination]],regions[[#All],[DEPOT]],regions[[#All],[ REGION]],"")</f>
        <v>Western</v>
      </c>
      <c r="E11" s="110">
        <v>444.98</v>
      </c>
      <c r="F11" s="110">
        <v>41</v>
      </c>
      <c r="G11" s="93">
        <v>46231.274375000001</v>
      </c>
      <c r="H11" s="93">
        <v>46231.456967592596</v>
      </c>
      <c r="I11" s="94">
        <f>VALUE(LEFT(mar_20265[[#This Row],[Delivery Time(hr)]],FIND(":",mar_20265[[#This Row],[Delivery Time(hr)]])-1))/24 + VALUE(RIGHT(mar_20265[[#This Row],[Delivery Time(hr)]],2))/1440</f>
        <v>0.18194444444444444</v>
      </c>
      <c r="J11" s="95" t="str">
        <f t="shared" si="0"/>
        <v>04:22</v>
      </c>
      <c r="K11" s="94">
        <f>VALUE(LEFT(mar_20265[[#This Row],[Parking Time-Depot(hr)]],FIND(":",mar_20265[[#This Row],[Parking Time-Depot(hr)]])-1))/24 + VALUE(RIGHT(mar_20265[[#This Row],[Parking Time-Depot(hr)]],2))/1440</f>
        <v>0.41111111111111109</v>
      </c>
      <c r="L11" s="95" t="str">
        <f t="shared" si="1"/>
        <v>09:52</v>
      </c>
      <c r="M11" s="93">
        <v>46231.868530092594</v>
      </c>
      <c r="N11" s="93">
        <v>46232.925613425927</v>
      </c>
      <c r="O11" s="94">
        <f>VALUE(LEFT(mar_20265[[#This Row],[Return Duration(hr)]],FIND(":",mar_20265[[#This Row],[Return Duration(hr)]])-1))/24 + VALUE(RIGHT(mar_20265[[#This Row],[Return Duration(hr)]],2))/1440</f>
        <v>1.0569444444444445</v>
      </c>
      <c r="P11" s="96" t="str">
        <f t="shared" si="2"/>
        <v>25:22</v>
      </c>
      <c r="Q11" s="97">
        <f>VALUE(LEFT(mar_20265[[#This Row],[Trip Duration(hr)]],FIND(":",mar_20265[[#This Row],[Trip Duration(hr)]])-1))/24 + VALUE(RIGHT(mar_20265[[#This Row],[Trip Duration(hr)]],2))/1440</f>
        <v>1.6506944444444445</v>
      </c>
      <c r="R11" s="95" t="str">
        <f t="shared" si="3"/>
        <v>39:37</v>
      </c>
      <c r="S11" s="98">
        <v>142</v>
      </c>
      <c r="T11" s="98">
        <f t="shared" si="4"/>
        <v>220.12</v>
      </c>
      <c r="U11" s="99">
        <f>mar_20265[[#This Row],[Initial fuel]]+mar_20265[[#This Row],[System fillings]]-mar_20265[[#This Row],[Final ]]</f>
        <v>228.64</v>
      </c>
      <c r="V11" s="113">
        <v>170</v>
      </c>
      <c r="W11" s="98">
        <v>178.52</v>
      </c>
      <c r="X11" s="98">
        <f t="shared" si="6"/>
        <v>-8.5200000000000102</v>
      </c>
      <c r="Y11" s="98">
        <f>mar_20265[[#This Row],[System fillings]]-mar_20265[[#This Row],[Consumed (IVMS)]]</f>
        <v>-50.119999999999976</v>
      </c>
      <c r="Z11" s="100">
        <v>91.88</v>
      </c>
      <c r="AA11" s="101">
        <f>_xlfn.XLOOKUP(mar_20265[[#This Row],[Vehicle Make]],eff[Vehicle Make],eff[Efficiency],)</f>
        <v>2.2000000000000002</v>
      </c>
      <c r="AB11" s="102">
        <f t="shared" si="5"/>
        <v>2.0215337088860621</v>
      </c>
      <c r="AC11" s="102">
        <v>29160</v>
      </c>
      <c r="AD11" s="102">
        <v>49120</v>
      </c>
      <c r="AE11" s="103" t="s">
        <v>91</v>
      </c>
      <c r="AF11" s="85" t="s">
        <v>120</v>
      </c>
    </row>
    <row r="12" spans="1:35" ht="15.75" customHeight="1" x14ac:dyDescent="0.25">
      <c r="A12" s="90" t="s">
        <v>19</v>
      </c>
      <c r="B12" s="91" t="str">
        <f>_xlfn.XLOOKUP(mar_20265[[#This Row],[Vehicle Reg Number ]],trucks[[Vehicle Reg Number ]],trucks[Vehicle Make],"")</f>
        <v xml:space="preserve">Faw </v>
      </c>
      <c r="C12" s="92" t="s">
        <v>92</v>
      </c>
      <c r="D12" s="92" t="str" cm="1">
        <f t="array" ref="D12">_xlfn.XLOOKUP(mar_20265[[#This Row],[Destination]],regions[[#All],[DEPOT]],regions[[#All],[ REGION]],"")</f>
        <v>South</v>
      </c>
      <c r="E12" s="110">
        <v>701.3</v>
      </c>
      <c r="F12" s="110">
        <v>38</v>
      </c>
      <c r="G12" s="93">
        <v>46113.763391203705</v>
      </c>
      <c r="H12" s="93">
        <v>46114.617106481484</v>
      </c>
      <c r="I12" s="104">
        <f>VALUE(LEFT(mar_20265[[#This Row],[Delivery Time(hr)]],FIND(":",mar_20265[[#This Row],[Delivery Time(hr)]])-1))/24 + VALUE(RIGHT(mar_20265[[#This Row],[Delivery Time(hr)]],2))/1440</f>
        <v>0.8534722222222223</v>
      </c>
      <c r="J12" s="95" t="str">
        <f t="shared" si="0"/>
        <v>20:29</v>
      </c>
      <c r="K12" s="94">
        <f>VALUE(LEFT(mar_20265[[#This Row],[Parking Time-Depot(hr)]],FIND(":",mar_20265[[#This Row],[Parking Time-Depot(hr)]])-1))/24 + VALUE(RIGHT(mar_20265[[#This Row],[Parking Time-Depot(hr)]],2))/1440</f>
        <v>0.8666666666666667</v>
      </c>
      <c r="L12" s="95" t="str">
        <f t="shared" si="1"/>
        <v>20:48</v>
      </c>
      <c r="M12" s="93">
        <v>46115.484340277777</v>
      </c>
      <c r="N12" s="93">
        <v>46116.536041666666</v>
      </c>
      <c r="O12" s="104">
        <f>VALUE(LEFT(mar_20265[[#This Row],[Return Duration(hr)]],FIND(":",mar_20265[[#This Row],[Return Duration(hr)]])-1))/24 + VALUE(RIGHT(mar_20265[[#This Row],[Return Duration(hr)]],2))/1440</f>
        <v>1.0513888888888889</v>
      </c>
      <c r="P12" s="96" t="str">
        <f t="shared" si="2"/>
        <v>25:14</v>
      </c>
      <c r="Q12" s="97">
        <f>VALUE(LEFT(mar_20265[[#This Row],[Trip Duration(hr)]],FIND(":",mar_20265[[#This Row],[Trip Duration(hr)]])-1))/24 + VALUE(RIGHT(mar_20265[[#This Row],[Trip Duration(hr)]],2))/1440</f>
        <v>2.7722222222222221</v>
      </c>
      <c r="R12" s="95" t="str">
        <f t="shared" si="3"/>
        <v>66:32</v>
      </c>
      <c r="S12" s="98">
        <v>92</v>
      </c>
      <c r="T12" s="98">
        <f t="shared" si="4"/>
        <v>377</v>
      </c>
      <c r="U12" s="99">
        <f>mar_20265[[#This Row],[Initial fuel]]+mar_20265[[#This Row],[System fillings]]-mar_20265[[#This Row],[Final ]]</f>
        <v>386.8</v>
      </c>
      <c r="V12" s="113">
        <v>400</v>
      </c>
      <c r="W12" s="98">
        <v>409.8</v>
      </c>
      <c r="X12" s="98">
        <f t="shared" si="6"/>
        <v>-9.8000000000000114</v>
      </c>
      <c r="Y12" s="98">
        <f>mar_20265[[#This Row],[System fillings]]-mar_20265[[#This Row],[Consumed (IVMS)]]</f>
        <v>23</v>
      </c>
      <c r="Z12" s="100">
        <v>115</v>
      </c>
      <c r="AA12" s="101">
        <f>_xlfn.XLOOKUP(mar_20265[[#This Row],[Vehicle Make]],eff[Vehicle Make],eff[Efficiency],)</f>
        <v>2.2000000000000002</v>
      </c>
      <c r="AB12" s="102">
        <f t="shared" si="5"/>
        <v>1.8602122015915119</v>
      </c>
      <c r="AC12" s="102">
        <v>29760</v>
      </c>
      <c r="AD12" s="102">
        <v>18980</v>
      </c>
      <c r="AE12" s="103"/>
      <c r="AF12" s="85" t="s">
        <v>120</v>
      </c>
    </row>
    <row r="13" spans="1:35" x14ac:dyDescent="0.25">
      <c r="A13" s="90" t="s">
        <v>19</v>
      </c>
      <c r="B13" s="91" t="str">
        <f>_xlfn.XLOOKUP(mar_20265[[#This Row],[Vehicle Reg Number ]],trucks[[Vehicle Reg Number ]],trucks[Vehicle Make],"")</f>
        <v xml:space="preserve">Faw </v>
      </c>
      <c r="C13" s="92" t="s">
        <v>117</v>
      </c>
      <c r="D13" s="92" t="str" cm="1">
        <f t="array" ref="D13">_xlfn.XLOOKUP(mar_20265[[#This Row],[Destination]],regions[[#All],[DEPOT]],regions[[#All],[ REGION]],"")</f>
        <v>North</v>
      </c>
      <c r="E13" s="110"/>
      <c r="F13" s="110"/>
      <c r="G13" s="93"/>
      <c r="H13" s="93"/>
      <c r="I13" s="104">
        <f>VALUE(LEFT(mar_20265[[#This Row],[Delivery Time(hr)]],FIND(":",mar_20265[[#This Row],[Delivery Time(hr)]])-1))/24 + VALUE(RIGHT(mar_20265[[#This Row],[Delivery Time(hr)]],2))/1440</f>
        <v>0</v>
      </c>
      <c r="J13" s="95" t="str">
        <f t="shared" si="0"/>
        <v>00:00</v>
      </c>
      <c r="K13" s="94">
        <f>VALUE(LEFT(mar_20265[[#This Row],[Parking Time-Depot(hr)]],FIND(":",mar_20265[[#This Row],[Parking Time-Depot(hr)]])-1))/24 + VALUE(RIGHT(mar_20265[[#This Row],[Parking Time-Depot(hr)]],2))/1440</f>
        <v>0</v>
      </c>
      <c r="L13" s="95" t="str">
        <f t="shared" si="1"/>
        <v>00:00</v>
      </c>
      <c r="M13" s="93"/>
      <c r="N13" s="93"/>
      <c r="O13" s="104">
        <f>VALUE(LEFT(mar_20265[[#This Row],[Return Duration(hr)]],FIND(":",mar_20265[[#This Row],[Return Duration(hr)]])-1))/24 + VALUE(RIGHT(mar_20265[[#This Row],[Return Duration(hr)]],2))/1440</f>
        <v>0</v>
      </c>
      <c r="P13" s="96" t="str">
        <f t="shared" si="2"/>
        <v>00:00</v>
      </c>
      <c r="Q13" s="97">
        <f>VALUE(LEFT(mar_20265[[#This Row],[Trip Duration(hr)]],FIND(":",mar_20265[[#This Row],[Trip Duration(hr)]])-1))/24 + VALUE(RIGHT(mar_20265[[#This Row],[Trip Duration(hr)]],2))/1440</f>
        <v>0</v>
      </c>
      <c r="R13" s="95" t="str">
        <f t="shared" si="3"/>
        <v>00:00</v>
      </c>
      <c r="S13" s="98">
        <v>115</v>
      </c>
      <c r="T13" s="98">
        <f t="shared" si="4"/>
        <v>435</v>
      </c>
      <c r="U13" s="99">
        <f>mar_20265[[#This Row],[Initial fuel]]+mar_20265[[#This Row],[System fillings]]-mar_20265[[#This Row],[Final ]]</f>
        <v>115</v>
      </c>
      <c r="V13" s="113">
        <v>320</v>
      </c>
      <c r="W13" s="98"/>
      <c r="X13" s="98">
        <f t="shared" si="6"/>
        <v>320</v>
      </c>
      <c r="Y13" s="98">
        <f>mar_20265[[#This Row],[System fillings]]-mar_20265[[#This Row],[Consumed (IVMS)]]</f>
        <v>-115</v>
      </c>
      <c r="Z13" s="100"/>
      <c r="AA13" s="101">
        <f>_xlfn.XLOOKUP(mar_20265[[#This Row],[Vehicle Make]],eff[Vehicle Make],eff[Efficiency],)</f>
        <v>2.2000000000000002</v>
      </c>
      <c r="AB13" s="102">
        <f t="shared" si="5"/>
        <v>0</v>
      </c>
      <c r="AC13" s="102">
        <v>28920</v>
      </c>
      <c r="AD13" s="102"/>
      <c r="AE13" s="105" t="s">
        <v>118</v>
      </c>
      <c r="AF13" s="85" t="s">
        <v>120</v>
      </c>
    </row>
    <row r="14" spans="1:35" x14ac:dyDescent="0.25">
      <c r="A14" s="11"/>
      <c r="B14" s="3" t="str">
        <f>_xlfn.XLOOKUP(mar_20265[[#This Row],[Vehicle Reg Number ]],trucks[[Vehicle Reg Number ]],trucks[Vehicle Make],"")</f>
        <v/>
      </c>
      <c r="C14" s="12"/>
      <c r="D14" s="12" t="str" cm="1">
        <f t="array" ref="D14">_xlfn.XLOOKUP(mar_20265[[#This Row],[Destination]],regions[[#All],[DEPOT]],regions[[#All],[ REGION]],"")</f>
        <v/>
      </c>
      <c r="E14" s="1"/>
      <c r="F14" s="1"/>
      <c r="G14" s="20"/>
      <c r="H14" s="20"/>
      <c r="I14" s="21">
        <f>VALUE(LEFT(mar_20265[[#This Row],[Delivery Time(hr)]],FIND(":",mar_20265[[#This Row],[Delivery Time(hr)]])-1))/24 + VALUE(RIGHT(mar_20265[[#This Row],[Delivery Time(hr)]],2))/1440</f>
        <v>0</v>
      </c>
      <c r="J14" s="15" t="str">
        <f>TEXT(H14-G14,"[hh]:mm")</f>
        <v>00:00</v>
      </c>
      <c r="K14" s="14">
        <f>VALUE(LEFT(mar_20265[[#This Row],[Parking Time-Depot(hr)]],FIND(":",mar_20265[[#This Row],[Parking Time-Depot(hr)]])-1))/24 + VALUE(RIGHT(mar_20265[[#This Row],[Parking Time-Depot(hr)]],2))/1440</f>
        <v>0</v>
      </c>
      <c r="L14" s="15" t="str">
        <f>TEXT(M14-H14,"[hh]:mm")</f>
        <v>00:00</v>
      </c>
      <c r="M14" s="20"/>
      <c r="N14" s="20"/>
      <c r="O14" s="21">
        <f>VALUE(LEFT(mar_20265[[#This Row],[Return Duration(hr)]],FIND(":",mar_20265[[#This Row],[Return Duration(hr)]])-1))/24 + VALUE(RIGHT(mar_20265[[#This Row],[Return Duration(hr)]],2))/1440</f>
        <v>0</v>
      </c>
      <c r="P14" s="16" t="str">
        <f>TEXT(N14-M14,"[hh]:mm")</f>
        <v>00:00</v>
      </c>
      <c r="Q14" s="17">
        <f>VALUE(LEFT(mar_20265[[#This Row],[Trip Duration(hr)]],FIND(":",mar_20265[[#This Row],[Trip Duration(hr)]])-1))/24 + VALUE(RIGHT(mar_20265[[#This Row],[Trip Duration(hr)]],2))/1440</f>
        <v>0</v>
      </c>
      <c r="R14" s="15" t="str">
        <f>TEXT(N14-G14,"[hh]:mm")</f>
        <v>00:00</v>
      </c>
      <c r="S14" s="18"/>
      <c r="T14" s="18">
        <f>S14+V14-Z14</f>
        <v>0</v>
      </c>
      <c r="U14" s="8">
        <f>mar_20265[[#This Row],[Initial fuel]]+mar_20265[[#This Row],[System fillings]]-mar_20265[[#This Row],[Final ]]</f>
        <v>0</v>
      </c>
      <c r="V14" s="18"/>
      <c r="W14" s="18"/>
      <c r="X14" s="18">
        <f>V14-W14</f>
        <v>0</v>
      </c>
      <c r="Y14" s="18">
        <f>mar_20265[[#This Row],[System fillings]]-mar_20265[[#This Row],[Consumed (IVMS)]]</f>
        <v>0</v>
      </c>
      <c r="Z14" s="19"/>
      <c r="AA14" s="28" t="e">
        <f>_xlfn.XLOOKUP(mar_20265[[#This Row],[Vehicle Make]],eff[Vehicle Make],eff[Efficiency],)</f>
        <v>#N/A</v>
      </c>
      <c r="AB14" s="82">
        <f>IFERROR(E14/T14,_xlfn.NUMBERVALUE(0))</f>
        <v>0</v>
      </c>
      <c r="AC14" s="106"/>
      <c r="AD14" s="106"/>
      <c r="AE14" s="85"/>
      <c r="AF14" s="85"/>
    </row>
    <row r="17" spans="7:10" x14ac:dyDescent="0.25">
      <c r="G17" s="23"/>
      <c r="H17" s="23"/>
    </row>
    <row r="18" spans="7:10" x14ac:dyDescent="0.25">
      <c r="G18" s="23"/>
      <c r="H18" s="23"/>
      <c r="I18" s="23"/>
      <c r="J18" s="23"/>
    </row>
    <row r="19" spans="7:10" x14ac:dyDescent="0.25">
      <c r="G19" s="23"/>
      <c r="H19" s="23"/>
      <c r="I19" s="23"/>
      <c r="J19" s="23"/>
    </row>
    <row r="20" spans="7:10" x14ac:dyDescent="0.25">
      <c r="I20" s="23"/>
      <c r="J20" s="23"/>
    </row>
    <row r="47" spans="1:31" s="22" customForma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109" ht="16.5" customHeight="1" x14ac:dyDescent="0.25"/>
    <row r="879" spans="1:31" s="32" customForma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</sheetData>
  <mergeCells count="6">
    <mergeCell ref="A1:D1"/>
    <mergeCell ref="AE1:AF1"/>
    <mergeCell ref="AC1:AD1"/>
    <mergeCell ref="S1:AB1"/>
    <mergeCell ref="G1:R1"/>
    <mergeCell ref="E1:F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62AD-1119-43DE-9BEF-A02FEB48EF0D}">
  <dimension ref="A3:N15"/>
  <sheetViews>
    <sheetView showGridLines="0" workbookViewId="0">
      <selection activeCell="F18" sqref="F18"/>
    </sheetView>
  </sheetViews>
  <sheetFormatPr defaultColWidth="9.28515625" defaultRowHeight="15" x14ac:dyDescent="0.25"/>
  <cols>
    <col min="1" max="1" width="9.28515625" style="74" bestFit="1" customWidth="1"/>
    <col min="2" max="2" width="15.28515625" style="74" bestFit="1" customWidth="1"/>
    <col min="3" max="3" width="10.5703125" style="74" bestFit="1" customWidth="1"/>
    <col min="4" max="4" width="9" style="74" bestFit="1" customWidth="1"/>
    <col min="5" max="5" width="11.140625" style="74" bestFit="1" customWidth="1"/>
    <col min="6" max="6" width="11" style="74" bestFit="1" customWidth="1"/>
    <col min="7" max="7" width="16.7109375" style="74" customWidth="1"/>
    <col min="8" max="8" width="12.28515625" style="74" bestFit="1" customWidth="1"/>
    <col min="9" max="9" width="14.140625" style="74" bestFit="1" customWidth="1"/>
    <col min="10" max="10" width="9.28515625" style="74" bestFit="1" customWidth="1"/>
    <col min="11" max="11" width="17.7109375" style="74" bestFit="1" customWidth="1"/>
    <col min="12" max="12" width="9" style="74" bestFit="1" customWidth="1"/>
    <col min="13" max="13" width="17.7109375" style="74" bestFit="1" customWidth="1"/>
    <col min="14" max="14" width="9" style="74" bestFit="1" customWidth="1"/>
    <col min="15" max="16384" width="9.28515625" style="74"/>
  </cols>
  <sheetData>
    <row r="3" spans="1:14" x14ac:dyDescent="0.25">
      <c r="A3" s="75" t="s">
        <v>93</v>
      </c>
      <c r="B3" s="75" t="s">
        <v>94</v>
      </c>
      <c r="C3" s="75" t="s">
        <v>95</v>
      </c>
      <c r="D3" s="75" t="s">
        <v>96</v>
      </c>
      <c r="E3" s="75" t="s">
        <v>97</v>
      </c>
      <c r="F3" s="75" t="s">
        <v>98</v>
      </c>
      <c r="G3" s="75" t="s">
        <v>99</v>
      </c>
      <c r="H3" s="75" t="s">
        <v>100</v>
      </c>
      <c r="I3" s="75" t="s">
        <v>101</v>
      </c>
      <c r="J3" s="75" t="s">
        <v>102</v>
      </c>
      <c r="K3" s="75" t="s">
        <v>103</v>
      </c>
      <c r="L3" s="75" t="s">
        <v>104</v>
      </c>
      <c r="M3" s="75" t="s">
        <v>105</v>
      </c>
      <c r="N3" s="75" t="s">
        <v>106</v>
      </c>
    </row>
    <row r="4" spans="1:14" x14ac:dyDescent="0.25">
      <c r="A4" s="76">
        <v>1</v>
      </c>
      <c r="B4" s="76" t="s">
        <v>107</v>
      </c>
      <c r="C4" s="76" t="s">
        <v>19</v>
      </c>
      <c r="D4" s="76" t="s">
        <v>108</v>
      </c>
      <c r="E4" s="76" t="s">
        <v>109</v>
      </c>
      <c r="F4" s="76" t="s">
        <v>110</v>
      </c>
      <c r="G4" s="76">
        <v>48680</v>
      </c>
      <c r="H4" s="76">
        <v>19080</v>
      </c>
      <c r="I4" s="76">
        <v>29600</v>
      </c>
      <c r="J4" s="76" t="s">
        <v>113</v>
      </c>
      <c r="K4" s="77">
        <v>46205</v>
      </c>
      <c r="L4" s="78">
        <v>0.7018402777777778</v>
      </c>
      <c r="M4" s="77">
        <v>46206</v>
      </c>
      <c r="N4" s="78">
        <v>0.62298611111111113</v>
      </c>
    </row>
    <row r="5" spans="1:14" x14ac:dyDescent="0.25">
      <c r="A5" s="76">
        <v>2</v>
      </c>
      <c r="B5" s="76" t="s">
        <v>107</v>
      </c>
      <c r="C5" s="76" t="s">
        <v>19</v>
      </c>
      <c r="D5" s="76" t="s">
        <v>108</v>
      </c>
      <c r="E5" s="76" t="s">
        <v>109</v>
      </c>
      <c r="F5" s="76" t="s">
        <v>110</v>
      </c>
      <c r="G5" s="76">
        <v>49260</v>
      </c>
      <c r="H5" s="76">
        <v>19100</v>
      </c>
      <c r="I5" s="76">
        <v>30160</v>
      </c>
      <c r="J5" s="76" t="s">
        <v>114</v>
      </c>
      <c r="K5" s="77">
        <v>46209</v>
      </c>
      <c r="L5" s="78">
        <v>0.72028935185185183</v>
      </c>
      <c r="M5" s="77">
        <v>46209</v>
      </c>
      <c r="N5" s="78">
        <v>0.92795138888888884</v>
      </c>
    </row>
    <row r="6" spans="1:14" x14ac:dyDescent="0.25">
      <c r="A6" s="76">
        <v>3</v>
      </c>
      <c r="B6" s="76" t="s">
        <v>107</v>
      </c>
      <c r="C6" s="76" t="s">
        <v>19</v>
      </c>
      <c r="D6" s="76" t="s">
        <v>108</v>
      </c>
      <c r="E6" s="76" t="s">
        <v>109</v>
      </c>
      <c r="F6" s="76" t="s">
        <v>110</v>
      </c>
      <c r="G6" s="76">
        <v>48780</v>
      </c>
      <c r="H6" s="76">
        <v>19120</v>
      </c>
      <c r="I6" s="76">
        <v>29660</v>
      </c>
      <c r="J6" s="76" t="s">
        <v>114</v>
      </c>
      <c r="K6" s="77">
        <v>46211</v>
      </c>
      <c r="L6" s="78">
        <v>0.33899305555555553</v>
      </c>
      <c r="M6" s="77">
        <v>46211</v>
      </c>
      <c r="N6" s="78">
        <v>0.66887731481481483</v>
      </c>
    </row>
    <row r="7" spans="1:14" x14ac:dyDescent="0.25">
      <c r="A7" s="76">
        <v>4</v>
      </c>
      <c r="B7" s="76" t="s">
        <v>107</v>
      </c>
      <c r="C7" s="76" t="s">
        <v>19</v>
      </c>
      <c r="D7" s="76" t="s">
        <v>108</v>
      </c>
      <c r="E7" s="76" t="s">
        <v>109</v>
      </c>
      <c r="F7" s="76" t="s">
        <v>110</v>
      </c>
      <c r="G7" s="76">
        <v>48400</v>
      </c>
      <c r="H7" s="76">
        <v>19160</v>
      </c>
      <c r="I7" s="76">
        <v>29240</v>
      </c>
      <c r="J7" s="76" t="s">
        <v>114</v>
      </c>
      <c r="K7" s="77">
        <v>46214</v>
      </c>
      <c r="L7" s="78">
        <v>0.3009027777777778</v>
      </c>
      <c r="M7" s="77">
        <v>46214</v>
      </c>
      <c r="N7" s="78">
        <v>0.68987268518518519</v>
      </c>
    </row>
    <row r="8" spans="1:14" x14ac:dyDescent="0.25">
      <c r="A8" s="76">
        <v>5</v>
      </c>
      <c r="B8" s="76" t="s">
        <v>107</v>
      </c>
      <c r="C8" s="76" t="s">
        <v>19</v>
      </c>
      <c r="D8" s="76" t="s">
        <v>108</v>
      </c>
      <c r="E8" s="76" t="s">
        <v>109</v>
      </c>
      <c r="F8" s="76" t="s">
        <v>110</v>
      </c>
      <c r="G8" s="76">
        <v>48480</v>
      </c>
      <c r="H8" s="76">
        <v>19080</v>
      </c>
      <c r="I8" s="76">
        <v>29400</v>
      </c>
      <c r="J8" s="76" t="s">
        <v>114</v>
      </c>
      <c r="K8" s="77">
        <v>46217</v>
      </c>
      <c r="L8" s="78">
        <v>0.62418981481481484</v>
      </c>
      <c r="M8" s="77">
        <v>46217</v>
      </c>
      <c r="N8" s="78">
        <v>0.87228009259259254</v>
      </c>
    </row>
    <row r="9" spans="1:14" x14ac:dyDescent="0.25">
      <c r="A9" s="76">
        <v>6</v>
      </c>
      <c r="B9" s="76" t="s">
        <v>107</v>
      </c>
      <c r="C9" s="76" t="s">
        <v>19</v>
      </c>
      <c r="D9" s="76" t="s">
        <v>108</v>
      </c>
      <c r="E9" s="76" t="s">
        <v>109</v>
      </c>
      <c r="F9" s="76" t="s">
        <v>110</v>
      </c>
      <c r="G9" s="76">
        <v>47740</v>
      </c>
      <c r="H9" s="76">
        <v>19140</v>
      </c>
      <c r="I9" s="76">
        <v>28600</v>
      </c>
      <c r="J9" s="76" t="s">
        <v>114</v>
      </c>
      <c r="K9" s="77">
        <v>46220</v>
      </c>
      <c r="L9" s="78">
        <v>0.67745370370370372</v>
      </c>
      <c r="M9" s="77">
        <v>46220</v>
      </c>
      <c r="N9" s="78">
        <v>0.7979398148148148</v>
      </c>
    </row>
    <row r="10" spans="1:14" x14ac:dyDescent="0.25">
      <c r="A10" s="76">
        <v>7</v>
      </c>
      <c r="B10" s="76" t="s">
        <v>107</v>
      </c>
      <c r="C10" s="76" t="s">
        <v>19</v>
      </c>
      <c r="D10" s="76" t="s">
        <v>108</v>
      </c>
      <c r="E10" s="76" t="s">
        <v>109</v>
      </c>
      <c r="F10" s="76" t="s">
        <v>110</v>
      </c>
      <c r="G10" s="76">
        <v>49080</v>
      </c>
      <c r="H10" s="76">
        <v>19180</v>
      </c>
      <c r="I10" s="76">
        <v>29900</v>
      </c>
      <c r="J10" s="76" t="s">
        <v>115</v>
      </c>
      <c r="K10" s="77">
        <v>46223</v>
      </c>
      <c r="L10" s="78">
        <v>0.69357638888888884</v>
      </c>
      <c r="M10" s="77">
        <v>46224</v>
      </c>
      <c r="N10" s="78">
        <v>0.51983796296296292</v>
      </c>
    </row>
    <row r="11" spans="1:14" x14ac:dyDescent="0.25">
      <c r="A11" s="76">
        <v>8</v>
      </c>
      <c r="B11" s="76" t="s">
        <v>107</v>
      </c>
      <c r="C11" s="76" t="s">
        <v>19</v>
      </c>
      <c r="D11" s="76" t="s">
        <v>108</v>
      </c>
      <c r="E11" s="76" t="s">
        <v>109</v>
      </c>
      <c r="F11" s="76" t="s">
        <v>110</v>
      </c>
      <c r="G11" s="76">
        <v>48920</v>
      </c>
      <c r="H11" s="76">
        <v>19160</v>
      </c>
      <c r="I11" s="76">
        <v>29760</v>
      </c>
      <c r="J11" s="76" t="s">
        <v>114</v>
      </c>
      <c r="K11" s="77">
        <v>46225</v>
      </c>
      <c r="L11" s="78">
        <v>0.83498842592592593</v>
      </c>
      <c r="M11" s="77">
        <v>46226</v>
      </c>
      <c r="N11" s="78">
        <v>0.4483449074074074</v>
      </c>
    </row>
    <row r="12" spans="1:14" x14ac:dyDescent="0.25">
      <c r="A12" s="76">
        <v>9</v>
      </c>
      <c r="B12" s="76" t="s">
        <v>107</v>
      </c>
      <c r="C12" s="76" t="s">
        <v>19</v>
      </c>
      <c r="D12" s="76" t="s">
        <v>108</v>
      </c>
      <c r="E12" s="76" t="s">
        <v>109</v>
      </c>
      <c r="F12" s="76" t="s">
        <v>110</v>
      </c>
      <c r="G12" s="76">
        <v>48220</v>
      </c>
      <c r="H12" s="76">
        <v>19060</v>
      </c>
      <c r="I12" s="76">
        <v>29160</v>
      </c>
      <c r="J12" s="76" t="s">
        <v>114</v>
      </c>
      <c r="K12" s="77">
        <v>46230</v>
      </c>
      <c r="L12" s="78">
        <v>0.39903935185185185</v>
      </c>
      <c r="M12" s="77">
        <v>46230</v>
      </c>
      <c r="N12" s="78">
        <v>0.74570601851851848</v>
      </c>
    </row>
    <row r="13" spans="1:14" x14ac:dyDescent="0.25">
      <c r="A13" s="76">
        <v>10</v>
      </c>
      <c r="B13" s="76" t="s">
        <v>111</v>
      </c>
      <c r="C13" s="76" t="s">
        <v>19</v>
      </c>
      <c r="D13" s="76" t="s">
        <v>108</v>
      </c>
      <c r="E13" s="76" t="s">
        <v>112</v>
      </c>
      <c r="F13" s="76" t="s">
        <v>110</v>
      </c>
      <c r="G13" s="76">
        <v>18980</v>
      </c>
      <c r="H13" s="76">
        <v>49120</v>
      </c>
      <c r="I13" s="76">
        <v>30140</v>
      </c>
      <c r="J13" s="76" t="s">
        <v>116</v>
      </c>
      <c r="K13" s="77">
        <v>46232</v>
      </c>
      <c r="L13" s="78">
        <v>0.92403935185185182</v>
      </c>
      <c r="M13" s="77">
        <v>46233</v>
      </c>
      <c r="N13" s="78">
        <v>0.47876157407407405</v>
      </c>
    </row>
    <row r="14" spans="1:14" x14ac:dyDescent="0.25">
      <c r="A14" s="76">
        <v>11</v>
      </c>
      <c r="B14" s="76" t="s">
        <v>107</v>
      </c>
      <c r="C14" s="76" t="s">
        <v>19</v>
      </c>
      <c r="D14" s="76" t="s">
        <v>108</v>
      </c>
      <c r="E14" s="76" t="s">
        <v>109</v>
      </c>
      <c r="F14" s="76" t="s">
        <v>110</v>
      </c>
      <c r="G14" s="76">
        <v>48740</v>
      </c>
      <c r="H14" s="76">
        <v>18980</v>
      </c>
      <c r="I14" s="76">
        <v>29760</v>
      </c>
      <c r="J14" s="76" t="s">
        <v>115</v>
      </c>
      <c r="K14" s="77">
        <v>46233</v>
      </c>
      <c r="L14" s="78">
        <v>0.47846064814814815</v>
      </c>
      <c r="M14" s="77">
        <v>46234</v>
      </c>
      <c r="N14" s="78">
        <v>0.3929050925925926</v>
      </c>
    </row>
    <row r="15" spans="1:14" x14ac:dyDescent="0.25">
      <c r="A15" s="76">
        <v>12</v>
      </c>
      <c r="B15" s="76" t="s">
        <v>107</v>
      </c>
      <c r="C15" s="76" t="s">
        <v>19</v>
      </c>
      <c r="D15" s="76" t="s">
        <v>108</v>
      </c>
      <c r="E15" s="76" t="s">
        <v>109</v>
      </c>
      <c r="F15" s="76" t="s">
        <v>110</v>
      </c>
      <c r="G15" s="76">
        <v>47940</v>
      </c>
      <c r="H15" s="76">
        <v>19020</v>
      </c>
      <c r="I15" s="76">
        <v>28920</v>
      </c>
      <c r="J15" s="76" t="s">
        <v>114</v>
      </c>
      <c r="K15" s="77">
        <v>46236</v>
      </c>
      <c r="L15" s="78">
        <v>0.37739583333333332</v>
      </c>
      <c r="M15" s="77">
        <v>46238</v>
      </c>
      <c r="N15" s="78">
        <v>0.60064814814814815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50F4-1BB0-4717-9424-A24D2C251DF5}">
  <dimension ref="A4:W15"/>
  <sheetViews>
    <sheetView showGridLines="0" topLeftCell="A4" workbookViewId="0">
      <selection activeCell="G18" sqref="G18"/>
    </sheetView>
  </sheetViews>
  <sheetFormatPr defaultRowHeight="15" x14ac:dyDescent="0.25"/>
  <cols>
    <col min="1" max="1" width="11.140625" style="57" bestFit="1" customWidth="1"/>
    <col min="2" max="2" width="4.28515625" style="57" bestFit="1" customWidth="1"/>
    <col min="3" max="3" width="10.140625" style="57" bestFit="1" customWidth="1"/>
    <col min="4" max="4" width="12.28515625" style="57" bestFit="1" customWidth="1"/>
    <col min="5" max="5" width="8.5703125" style="57" bestFit="1" customWidth="1"/>
    <col min="6" max="6" width="9.42578125" style="57" bestFit="1" customWidth="1"/>
    <col min="7" max="7" width="9.5703125" style="57" bestFit="1" customWidth="1"/>
    <col min="8" max="8" width="19.28515625" style="57" bestFit="1" customWidth="1"/>
    <col min="9" max="9" width="8.42578125" style="57" bestFit="1" customWidth="1"/>
    <col min="10" max="11" width="8.7109375" style="57" bestFit="1" customWidth="1"/>
    <col min="12" max="12" width="9.5703125" style="57" bestFit="1" customWidth="1"/>
    <col min="13" max="17" width="17.7109375" style="57" bestFit="1" customWidth="1"/>
    <col min="18" max="18" width="10.5703125" style="57" bestFit="1" customWidth="1"/>
    <col min="19" max="19" width="9" style="57" bestFit="1" customWidth="1"/>
    <col min="20" max="20" width="8" style="57" bestFit="1" customWidth="1"/>
    <col min="21" max="21" width="11.85546875" style="57" bestFit="1" customWidth="1"/>
    <col min="22" max="22" width="51.85546875" style="57" bestFit="1" customWidth="1"/>
    <col min="23" max="23" width="16.7109375" style="57" bestFit="1" customWidth="1"/>
    <col min="24" max="16384" width="9.140625" style="57"/>
  </cols>
  <sheetData>
    <row r="4" spans="1:23" s="40" customFormat="1" ht="105" x14ac:dyDescent="0.25">
      <c r="A4" s="34" t="s">
        <v>61</v>
      </c>
      <c r="B4" s="34" t="s">
        <v>62</v>
      </c>
      <c r="C4" s="34" t="s">
        <v>63</v>
      </c>
      <c r="D4" s="34" t="s">
        <v>42</v>
      </c>
      <c r="E4" s="34" t="s">
        <v>64</v>
      </c>
      <c r="F4" s="34" t="s">
        <v>65</v>
      </c>
      <c r="G4" s="35" t="s">
        <v>66</v>
      </c>
      <c r="H4" s="36" t="s">
        <v>67</v>
      </c>
      <c r="I4" s="36" t="s">
        <v>68</v>
      </c>
      <c r="J4" s="37" t="s">
        <v>69</v>
      </c>
      <c r="K4" s="37" t="s">
        <v>70</v>
      </c>
      <c r="L4" s="37" t="s">
        <v>71</v>
      </c>
      <c r="M4" s="34" t="s">
        <v>72</v>
      </c>
      <c r="N4" s="34" t="s">
        <v>73</v>
      </c>
      <c r="O4" s="34" t="s">
        <v>74</v>
      </c>
      <c r="P4" s="34" t="s">
        <v>75</v>
      </c>
      <c r="Q4" s="38" t="s">
        <v>76</v>
      </c>
      <c r="R4" s="34" t="s">
        <v>77</v>
      </c>
      <c r="S4" s="34" t="s">
        <v>78</v>
      </c>
      <c r="T4" s="34" t="s">
        <v>79</v>
      </c>
      <c r="U4" s="34" t="s">
        <v>80</v>
      </c>
      <c r="V4" s="34" t="s">
        <v>81</v>
      </c>
      <c r="W4" s="39" t="s">
        <v>82</v>
      </c>
    </row>
    <row r="5" spans="1:23" x14ac:dyDescent="0.25">
      <c r="A5" s="41">
        <v>46206</v>
      </c>
      <c r="B5" s="42">
        <v>6</v>
      </c>
      <c r="C5" s="43">
        <v>30094304</v>
      </c>
      <c r="D5" s="44" t="s">
        <v>31</v>
      </c>
      <c r="E5" s="45">
        <v>860</v>
      </c>
      <c r="F5" s="46">
        <v>330</v>
      </c>
      <c r="G5" s="47">
        <f t="shared" ref="G5:G15" si="0">E5/F5</f>
        <v>2.606060606060606</v>
      </c>
      <c r="H5" s="48" t="s">
        <v>45</v>
      </c>
      <c r="I5" s="48" t="s">
        <v>46</v>
      </c>
      <c r="J5" s="49">
        <v>30000</v>
      </c>
      <c r="K5" s="50">
        <v>29600</v>
      </c>
      <c r="L5" s="51">
        <f t="shared" ref="L5:L12" si="1">K5/J5</f>
        <v>0.98666666666666669</v>
      </c>
      <c r="M5" s="52">
        <v>46206.452777777777</v>
      </c>
      <c r="N5" s="52">
        <v>46206.458333333336</v>
      </c>
      <c r="O5" s="52">
        <v>46206.618055555555</v>
      </c>
      <c r="P5" s="52">
        <v>46206.75</v>
      </c>
      <c r="Q5" s="52">
        <v>46206.791666666664</v>
      </c>
      <c r="R5" s="53" t="str">
        <f t="shared" ref="R5:R15" si="2">TEXT(Q5-N5,"[hh]:mm")</f>
        <v>08:00</v>
      </c>
      <c r="S5" s="53" t="str">
        <f t="shared" ref="S5:S15" si="3">TEXT(Q5-P5,"[hh]:mm")</f>
        <v>01:00</v>
      </c>
      <c r="T5" s="54">
        <f t="shared" ref="T5:T15" si="4">(E5/35+6)/14</f>
        <v>2.1836734693877551</v>
      </c>
      <c r="U5" s="55">
        <f t="shared" ref="U5:U15" si="5">Q5+T5</f>
        <v>46208.97534013605</v>
      </c>
      <c r="V5" s="44" t="s">
        <v>47</v>
      </c>
      <c r="W5" s="56"/>
    </row>
    <row r="6" spans="1:23" x14ac:dyDescent="0.25">
      <c r="A6" s="41">
        <v>46209</v>
      </c>
      <c r="B6" s="42">
        <v>27</v>
      </c>
      <c r="C6" s="43">
        <v>30094464</v>
      </c>
      <c r="D6" s="44" t="s">
        <v>37</v>
      </c>
      <c r="E6" s="45">
        <v>412</v>
      </c>
      <c r="F6" s="46">
        <v>170</v>
      </c>
      <c r="G6" s="47">
        <f t="shared" si="0"/>
        <v>2.4235294117647057</v>
      </c>
      <c r="H6" s="48" t="s">
        <v>45</v>
      </c>
      <c r="I6" s="48" t="s">
        <v>48</v>
      </c>
      <c r="J6" s="49">
        <v>30000</v>
      </c>
      <c r="K6" s="50">
        <v>30160</v>
      </c>
      <c r="L6" s="51">
        <f t="shared" si="1"/>
        <v>1.0053333333333334</v>
      </c>
      <c r="M6" s="52">
        <v>46209.689583333333</v>
      </c>
      <c r="N6" s="52">
        <v>46209.777777777781</v>
      </c>
      <c r="O6" s="52">
        <v>46209.927083333336</v>
      </c>
      <c r="P6" s="52">
        <v>46209.958333333336</v>
      </c>
      <c r="Q6" s="52">
        <v>46210.166666666664</v>
      </c>
      <c r="R6" s="53" t="str">
        <f t="shared" si="2"/>
        <v>09:20</v>
      </c>
      <c r="S6" s="53" t="str">
        <f t="shared" si="3"/>
        <v>05:00</v>
      </c>
      <c r="T6" s="54">
        <f t="shared" si="4"/>
        <v>1.2693877551020409</v>
      </c>
      <c r="U6" s="55">
        <f t="shared" si="5"/>
        <v>46211.436054421763</v>
      </c>
      <c r="V6" s="44" t="s">
        <v>49</v>
      </c>
      <c r="W6" s="56"/>
    </row>
    <row r="7" spans="1:23" x14ac:dyDescent="0.25">
      <c r="A7" s="41">
        <v>46211</v>
      </c>
      <c r="B7" s="42">
        <v>12</v>
      </c>
      <c r="C7" s="43">
        <v>30094580</v>
      </c>
      <c r="D7" s="44" t="s">
        <v>32</v>
      </c>
      <c r="E7" s="45">
        <v>894</v>
      </c>
      <c r="F7" s="46">
        <v>380</v>
      </c>
      <c r="G7" s="47">
        <f t="shared" si="0"/>
        <v>2.3526315789473684</v>
      </c>
      <c r="H7" s="48" t="s">
        <v>45</v>
      </c>
      <c r="I7" s="48" t="s">
        <v>50</v>
      </c>
      <c r="J7" s="49">
        <v>30000</v>
      </c>
      <c r="K7" s="50">
        <v>29660</v>
      </c>
      <c r="L7" s="51">
        <f t="shared" si="1"/>
        <v>0.98866666666666669</v>
      </c>
      <c r="M7" s="52">
        <v>46211.480555555558</v>
      </c>
      <c r="N7" s="52">
        <v>46211.489583333336</v>
      </c>
      <c r="O7" s="52">
        <v>46211.645833333336</v>
      </c>
      <c r="P7" s="52">
        <v>46211.666666666664</v>
      </c>
      <c r="Q7" s="52">
        <v>46211.708333333336</v>
      </c>
      <c r="R7" s="53" t="str">
        <f t="shared" si="2"/>
        <v>05:15</v>
      </c>
      <c r="S7" s="53" t="str">
        <f t="shared" si="3"/>
        <v>01:00</v>
      </c>
      <c r="T7" s="54">
        <f t="shared" si="4"/>
        <v>2.2530612244897958</v>
      </c>
      <c r="U7" s="55">
        <f t="shared" si="5"/>
        <v>46213.961394557824</v>
      </c>
      <c r="V7" s="44" t="s">
        <v>51</v>
      </c>
      <c r="W7" s="56"/>
    </row>
    <row r="8" spans="1:23" x14ac:dyDescent="0.25">
      <c r="A8" s="41">
        <v>46214</v>
      </c>
      <c r="B8" s="42">
        <v>9</v>
      </c>
      <c r="C8" s="43">
        <v>30094757</v>
      </c>
      <c r="D8" s="44" t="s">
        <v>38</v>
      </c>
      <c r="E8" s="45">
        <v>860</v>
      </c>
      <c r="F8" s="46">
        <v>390</v>
      </c>
      <c r="G8" s="47">
        <f t="shared" si="0"/>
        <v>2.2051282051282053</v>
      </c>
      <c r="H8" s="48" t="s">
        <v>45</v>
      </c>
      <c r="I8" s="48" t="s">
        <v>52</v>
      </c>
      <c r="J8" s="49">
        <v>30000</v>
      </c>
      <c r="K8" s="50">
        <v>29240</v>
      </c>
      <c r="L8" s="51">
        <f t="shared" si="1"/>
        <v>0.97466666666666668</v>
      </c>
      <c r="M8" s="52">
        <v>46214.470833333333</v>
      </c>
      <c r="N8" s="52">
        <v>46214.5</v>
      </c>
      <c r="O8" s="52">
        <v>46214.673611111109</v>
      </c>
      <c r="P8" s="52">
        <v>46214.708333333336</v>
      </c>
      <c r="Q8" s="52">
        <v>46214.75</v>
      </c>
      <c r="R8" s="53" t="str">
        <f t="shared" si="2"/>
        <v>06:00</v>
      </c>
      <c r="S8" s="53" t="str">
        <f t="shared" si="3"/>
        <v>01:00</v>
      </c>
      <c r="T8" s="54">
        <f t="shared" si="4"/>
        <v>2.1836734693877551</v>
      </c>
      <c r="U8" s="55">
        <f t="shared" si="5"/>
        <v>46216.933673469386</v>
      </c>
      <c r="V8" s="44" t="s">
        <v>47</v>
      </c>
      <c r="W8" s="56"/>
    </row>
    <row r="9" spans="1:23" x14ac:dyDescent="0.25">
      <c r="A9" s="41">
        <v>46217</v>
      </c>
      <c r="B9" s="42">
        <v>15</v>
      </c>
      <c r="C9" s="43">
        <v>30094946</v>
      </c>
      <c r="D9" s="44" t="s">
        <v>30</v>
      </c>
      <c r="E9" s="45">
        <v>850</v>
      </c>
      <c r="F9" s="46">
        <v>360</v>
      </c>
      <c r="G9" s="47">
        <f t="shared" si="0"/>
        <v>2.3611111111111112</v>
      </c>
      <c r="H9" s="48" t="s">
        <v>45</v>
      </c>
      <c r="I9" s="48" t="s">
        <v>53</v>
      </c>
      <c r="J9" s="49">
        <v>30000</v>
      </c>
      <c r="K9" s="50">
        <v>29400</v>
      </c>
      <c r="L9" s="51">
        <f t="shared" si="1"/>
        <v>0.98</v>
      </c>
      <c r="M9" s="52">
        <v>46217.605555555558</v>
      </c>
      <c r="N9" s="52">
        <v>46217.645833333336</v>
      </c>
      <c r="O9" s="52">
        <v>46217.833333333336</v>
      </c>
      <c r="P9" s="52">
        <v>46217.875</v>
      </c>
      <c r="Q9" s="52">
        <v>46218.166666666664</v>
      </c>
      <c r="R9" s="53" t="str">
        <f t="shared" si="2"/>
        <v>12:30</v>
      </c>
      <c r="S9" s="53" t="str">
        <f t="shared" si="3"/>
        <v>07:00</v>
      </c>
      <c r="T9" s="54">
        <f t="shared" si="4"/>
        <v>2.1632653061224487</v>
      </c>
      <c r="U9" s="55">
        <f t="shared" si="5"/>
        <v>46220.329931972788</v>
      </c>
      <c r="V9" s="44" t="s">
        <v>49</v>
      </c>
      <c r="W9" s="56"/>
    </row>
    <row r="10" spans="1:23" x14ac:dyDescent="0.25">
      <c r="A10" s="41">
        <v>46220</v>
      </c>
      <c r="B10" s="42">
        <v>26</v>
      </c>
      <c r="C10" s="43">
        <v>30095146</v>
      </c>
      <c r="D10" s="44" t="s">
        <v>28</v>
      </c>
      <c r="E10" s="45">
        <v>1020</v>
      </c>
      <c r="F10" s="46">
        <v>450</v>
      </c>
      <c r="G10" s="47">
        <f t="shared" si="0"/>
        <v>2.2666666666666666</v>
      </c>
      <c r="H10" s="48" t="s">
        <v>45</v>
      </c>
      <c r="I10" s="48" t="s">
        <v>54</v>
      </c>
      <c r="J10" s="49">
        <v>30000</v>
      </c>
      <c r="K10" s="50">
        <v>28600</v>
      </c>
      <c r="L10" s="51">
        <f t="shared" si="1"/>
        <v>0.95333333333333337</v>
      </c>
      <c r="M10" s="52">
        <v>46220.681944444441</v>
      </c>
      <c r="N10" s="52">
        <v>46220.694444444445</v>
      </c>
      <c r="O10" s="52">
        <v>46220.784722222219</v>
      </c>
      <c r="P10" s="52">
        <v>46220.833333333336</v>
      </c>
      <c r="Q10" s="52">
        <v>46221.166666666664</v>
      </c>
      <c r="R10" s="53" t="str">
        <f t="shared" si="2"/>
        <v>11:20</v>
      </c>
      <c r="S10" s="53" t="str">
        <f t="shared" si="3"/>
        <v>08:00</v>
      </c>
      <c r="T10" s="54">
        <f t="shared" si="4"/>
        <v>2.510204081632653</v>
      </c>
      <c r="U10" s="55">
        <f t="shared" si="5"/>
        <v>46223.676870748299</v>
      </c>
      <c r="V10" s="44" t="s">
        <v>49</v>
      </c>
      <c r="W10" s="56"/>
    </row>
    <row r="11" spans="1:23" x14ac:dyDescent="0.25">
      <c r="A11" s="41">
        <v>46224</v>
      </c>
      <c r="B11" s="42">
        <v>1</v>
      </c>
      <c r="C11" s="43">
        <v>30095247</v>
      </c>
      <c r="D11" s="44" t="s">
        <v>33</v>
      </c>
      <c r="E11" s="45">
        <v>352</v>
      </c>
      <c r="F11" s="46">
        <v>140</v>
      </c>
      <c r="G11" s="47">
        <f t="shared" si="0"/>
        <v>2.5142857142857142</v>
      </c>
      <c r="H11" s="48" t="s">
        <v>45</v>
      </c>
      <c r="I11" s="48" t="s">
        <v>55</v>
      </c>
      <c r="J11" s="49">
        <v>30000</v>
      </c>
      <c r="K11" s="50">
        <v>29900</v>
      </c>
      <c r="L11" s="51">
        <f t="shared" si="1"/>
        <v>0.9966666666666667</v>
      </c>
      <c r="M11" s="52">
        <v>46224.377083333333</v>
      </c>
      <c r="N11" s="52">
        <v>46224.395833333336</v>
      </c>
      <c r="O11" s="52">
        <v>46224.555555555555</v>
      </c>
      <c r="P11" s="52">
        <v>46224.583333333336</v>
      </c>
      <c r="Q11" s="52">
        <v>46224.625</v>
      </c>
      <c r="R11" s="53" t="str">
        <f t="shared" si="2"/>
        <v>05:30</v>
      </c>
      <c r="S11" s="53" t="str">
        <f t="shared" si="3"/>
        <v>01:00</v>
      </c>
      <c r="T11" s="54">
        <f t="shared" si="4"/>
        <v>1.1469387755102041</v>
      </c>
      <c r="U11" s="55">
        <f t="shared" si="5"/>
        <v>46225.771938775513</v>
      </c>
      <c r="V11" s="44" t="s">
        <v>47</v>
      </c>
      <c r="W11" s="56"/>
    </row>
    <row r="12" spans="1:23" x14ac:dyDescent="0.25">
      <c r="A12" s="41">
        <v>46226</v>
      </c>
      <c r="B12" s="42">
        <v>1</v>
      </c>
      <c r="C12" s="43">
        <v>30095340</v>
      </c>
      <c r="D12" s="44" t="s">
        <v>38</v>
      </c>
      <c r="E12" s="45">
        <v>860</v>
      </c>
      <c r="F12" s="46">
        <v>290</v>
      </c>
      <c r="G12" s="47">
        <f t="shared" si="0"/>
        <v>2.9655172413793105</v>
      </c>
      <c r="H12" s="48" t="s">
        <v>45</v>
      </c>
      <c r="I12" s="48" t="s">
        <v>56</v>
      </c>
      <c r="J12" s="49">
        <v>30000</v>
      </c>
      <c r="K12" s="50">
        <v>29760</v>
      </c>
      <c r="L12" s="51">
        <f t="shared" si="1"/>
        <v>0.99199999999999999</v>
      </c>
      <c r="M12" s="52">
        <v>46225.509722222225</v>
      </c>
      <c r="N12" s="52">
        <v>46226.3125</v>
      </c>
      <c r="O12" s="52">
        <v>46226.451388888891</v>
      </c>
      <c r="P12" s="52">
        <v>46226.5</v>
      </c>
      <c r="Q12" s="52">
        <v>46226.75</v>
      </c>
      <c r="R12" s="53" t="str">
        <f t="shared" si="2"/>
        <v>10:30</v>
      </c>
      <c r="S12" s="53" t="str">
        <f t="shared" si="3"/>
        <v>06:00</v>
      </c>
      <c r="T12" s="54">
        <f t="shared" si="4"/>
        <v>2.1836734693877551</v>
      </c>
      <c r="U12" s="55">
        <f t="shared" si="5"/>
        <v>46228.933673469386</v>
      </c>
      <c r="V12" s="44" t="s">
        <v>47</v>
      </c>
      <c r="W12" s="56"/>
    </row>
    <row r="13" spans="1:23" x14ac:dyDescent="0.25">
      <c r="A13" s="41">
        <v>46230</v>
      </c>
      <c r="B13" s="42">
        <v>20</v>
      </c>
      <c r="C13" s="43">
        <v>30095573</v>
      </c>
      <c r="D13" s="44" t="s">
        <v>37</v>
      </c>
      <c r="E13" s="45">
        <v>412</v>
      </c>
      <c r="F13" s="46">
        <v>170</v>
      </c>
      <c r="G13" s="47">
        <f t="shared" si="0"/>
        <v>2.4235294117647057</v>
      </c>
      <c r="H13" s="48" t="s">
        <v>45</v>
      </c>
      <c r="I13" s="48" t="s">
        <v>57</v>
      </c>
      <c r="J13" s="49">
        <v>30000</v>
      </c>
      <c r="K13" s="50">
        <v>29160</v>
      </c>
      <c r="L13" s="51">
        <f>K13/J13</f>
        <v>0.97199999999999998</v>
      </c>
      <c r="M13" s="52">
        <v>46230.511805555558</v>
      </c>
      <c r="N13" s="52">
        <v>46230.541666666664</v>
      </c>
      <c r="O13" s="52">
        <v>46230.6875</v>
      </c>
      <c r="P13" s="52">
        <v>46230.75</v>
      </c>
      <c r="Q13" s="52">
        <v>46231.166666666664</v>
      </c>
      <c r="R13" s="53" t="str">
        <f t="shared" si="2"/>
        <v>15:00</v>
      </c>
      <c r="S13" s="53" t="str">
        <f t="shared" si="3"/>
        <v>10:00</v>
      </c>
      <c r="T13" s="54">
        <f t="shared" si="4"/>
        <v>1.2693877551020409</v>
      </c>
      <c r="U13" s="55">
        <f t="shared" si="5"/>
        <v>46232.436054421763</v>
      </c>
      <c r="V13" s="44" t="s">
        <v>49</v>
      </c>
      <c r="W13" s="56"/>
    </row>
    <row r="14" spans="1:23" x14ac:dyDescent="0.25">
      <c r="A14" s="41">
        <v>46233</v>
      </c>
      <c r="B14" s="42">
        <v>33</v>
      </c>
      <c r="C14" s="43">
        <v>30095747</v>
      </c>
      <c r="D14" s="44" t="s">
        <v>36</v>
      </c>
      <c r="E14" s="45">
        <v>742</v>
      </c>
      <c r="F14" s="46">
        <v>340</v>
      </c>
      <c r="G14" s="47">
        <f t="shared" si="0"/>
        <v>2.1823529411764704</v>
      </c>
      <c r="H14" s="48" t="s">
        <v>45</v>
      </c>
      <c r="I14" s="48" t="s">
        <v>58</v>
      </c>
      <c r="J14" s="49">
        <v>30000</v>
      </c>
      <c r="K14" s="50">
        <v>29760</v>
      </c>
      <c r="L14" s="51">
        <f t="shared" ref="L14:L15" si="6">K14/J14</f>
        <v>0.99199999999999999</v>
      </c>
      <c r="M14" s="52">
        <v>46233.615972222222</v>
      </c>
      <c r="N14" s="52">
        <v>46233.652777777781</v>
      </c>
      <c r="O14" s="52">
        <v>46234.375</v>
      </c>
      <c r="P14" s="52">
        <v>46234.375</v>
      </c>
      <c r="Q14" s="52">
        <v>46234.416666666664</v>
      </c>
      <c r="R14" s="53" t="str">
        <f t="shared" si="2"/>
        <v>18:20</v>
      </c>
      <c r="S14" s="53" t="str">
        <f t="shared" si="3"/>
        <v>01:00</v>
      </c>
      <c r="T14" s="54">
        <f t="shared" si="4"/>
        <v>1.9428571428571428</v>
      </c>
      <c r="U14" s="55">
        <f t="shared" si="5"/>
        <v>46236.359523809522</v>
      </c>
      <c r="V14" s="44" t="s">
        <v>59</v>
      </c>
      <c r="W14" s="56"/>
    </row>
    <row r="15" spans="1:23" s="73" customFormat="1" x14ac:dyDescent="0.25">
      <c r="A15" s="41">
        <v>46238</v>
      </c>
      <c r="B15" s="58">
        <v>3</v>
      </c>
      <c r="C15" s="59">
        <v>30095924</v>
      </c>
      <c r="D15" s="60" t="s">
        <v>29</v>
      </c>
      <c r="E15" s="61">
        <v>800</v>
      </c>
      <c r="F15" s="62">
        <v>320</v>
      </c>
      <c r="G15" s="63">
        <f t="shared" si="0"/>
        <v>2.5</v>
      </c>
      <c r="H15" s="64" t="s">
        <v>45</v>
      </c>
      <c r="I15" s="64" t="s">
        <v>60</v>
      </c>
      <c r="J15" s="65">
        <v>30000</v>
      </c>
      <c r="K15" s="66">
        <v>28920</v>
      </c>
      <c r="L15" s="67">
        <f t="shared" si="6"/>
        <v>0.96399999999999997</v>
      </c>
      <c r="M15" s="68">
        <v>46238.431944444441</v>
      </c>
      <c r="N15" s="68">
        <v>46238.443749999999</v>
      </c>
      <c r="O15" s="68">
        <v>46238.566666666666</v>
      </c>
      <c r="P15" s="68">
        <v>46238.770833333336</v>
      </c>
      <c r="Q15" s="68">
        <v>46239.152777777781</v>
      </c>
      <c r="R15" s="69" t="str">
        <f t="shared" si="2"/>
        <v>17:01</v>
      </c>
      <c r="S15" s="69" t="str">
        <f t="shared" si="3"/>
        <v>09:10</v>
      </c>
      <c r="T15" s="70">
        <f t="shared" si="4"/>
        <v>2.0612244897959182</v>
      </c>
      <c r="U15" s="71">
        <f t="shared" si="5"/>
        <v>46241.214002267574</v>
      </c>
      <c r="V15" s="60" t="s">
        <v>47</v>
      </c>
      <c r="W15" s="72"/>
    </row>
  </sheetData>
  <conditionalFormatting sqref="C4">
    <cfRule type="duplicateValues" dxfId="53" priority="3"/>
    <cfRule type="duplicateValues" dxfId="52" priority="4"/>
    <cfRule type="duplicateValues" dxfId="51" priority="5"/>
    <cfRule type="duplicateValues" dxfId="50" priority="9"/>
  </conditionalFormatting>
  <conditionalFormatting sqref="C5">
    <cfRule type="duplicateValues" dxfId="49" priority="53"/>
  </conditionalFormatting>
  <conditionalFormatting sqref="C6">
    <cfRule type="duplicateValues" dxfId="48" priority="49"/>
  </conditionalFormatting>
  <conditionalFormatting sqref="C7">
    <cfRule type="duplicateValues" dxfId="47" priority="45"/>
  </conditionalFormatting>
  <conditionalFormatting sqref="C8">
    <cfRule type="duplicateValues" dxfId="46" priority="41"/>
  </conditionalFormatting>
  <conditionalFormatting sqref="C9">
    <cfRule type="duplicateValues" dxfId="45" priority="37"/>
  </conditionalFormatting>
  <conditionalFormatting sqref="C10">
    <cfRule type="duplicateValues" dxfId="44" priority="33"/>
  </conditionalFormatting>
  <conditionalFormatting sqref="C11">
    <cfRule type="duplicateValues" dxfId="43" priority="27"/>
  </conditionalFormatting>
  <conditionalFormatting sqref="C12">
    <cfRule type="duplicateValues" dxfId="42" priority="23"/>
  </conditionalFormatting>
  <conditionalFormatting sqref="C13">
    <cfRule type="duplicateValues" dxfId="41" priority="21"/>
  </conditionalFormatting>
  <conditionalFormatting sqref="C14">
    <cfRule type="duplicateValues" dxfId="40" priority="17"/>
  </conditionalFormatting>
  <conditionalFormatting sqref="C15">
    <cfRule type="duplicateValues" dxfId="39" priority="10"/>
    <cfRule type="duplicateValues" dxfId="38" priority="11"/>
  </conditionalFormatting>
  <conditionalFormatting sqref="H4:I4">
    <cfRule type="duplicateValues" dxfId="37" priority="7"/>
    <cfRule type="duplicateValues" dxfId="36" priority="6"/>
  </conditionalFormatting>
  <conditionalFormatting sqref="I4">
    <cfRule type="duplicateValues" dxfId="35" priority="2"/>
    <cfRule type="duplicateValues" dxfId="34" priority="1"/>
    <cfRule type="duplicateValues" dxfId="33" priority="8"/>
  </conditionalFormatting>
  <conditionalFormatting sqref="I5">
    <cfRule type="duplicateValues" dxfId="32" priority="52"/>
    <cfRule type="duplicateValues" dxfId="31" priority="51"/>
    <cfRule type="duplicateValues" dxfId="30" priority="54"/>
  </conditionalFormatting>
  <conditionalFormatting sqref="I6">
    <cfRule type="duplicateValues" dxfId="29" priority="48"/>
    <cfRule type="duplicateValues" dxfId="28" priority="47"/>
    <cfRule type="duplicateValues" dxfId="27" priority="50"/>
  </conditionalFormatting>
  <conditionalFormatting sqref="I7">
    <cfRule type="duplicateValues" dxfId="26" priority="43"/>
    <cfRule type="duplicateValues" dxfId="25" priority="44"/>
    <cfRule type="duplicateValues" dxfId="24" priority="46"/>
  </conditionalFormatting>
  <conditionalFormatting sqref="I8">
    <cfRule type="duplicateValues" dxfId="23" priority="39"/>
    <cfRule type="duplicateValues" dxfId="22" priority="40"/>
    <cfRule type="duplicateValues" dxfId="21" priority="42"/>
  </conditionalFormatting>
  <conditionalFormatting sqref="I9">
    <cfRule type="duplicateValues" dxfId="20" priority="35"/>
    <cfRule type="duplicateValues" dxfId="19" priority="36"/>
    <cfRule type="duplicateValues" dxfId="18" priority="38"/>
  </conditionalFormatting>
  <conditionalFormatting sqref="I10">
    <cfRule type="duplicateValues" dxfId="17" priority="31"/>
    <cfRule type="duplicateValues" dxfId="16" priority="32"/>
    <cfRule type="duplicateValues" dxfId="15" priority="34"/>
  </conditionalFormatting>
  <conditionalFormatting sqref="I11">
    <cfRule type="duplicateValues" dxfId="14" priority="29"/>
    <cfRule type="duplicateValues" dxfId="13" priority="28"/>
    <cfRule type="duplicateValues" dxfId="12" priority="30"/>
  </conditionalFormatting>
  <conditionalFormatting sqref="I12">
    <cfRule type="duplicateValues" dxfId="11" priority="26"/>
    <cfRule type="duplicateValues" dxfId="10" priority="25"/>
    <cfRule type="duplicateValues" dxfId="9" priority="24"/>
  </conditionalFormatting>
  <conditionalFormatting sqref="I13">
    <cfRule type="duplicateValues" dxfId="8" priority="22"/>
    <cfRule type="duplicateValues" dxfId="7" priority="20"/>
    <cfRule type="duplicateValues" dxfId="6" priority="19"/>
  </conditionalFormatting>
  <conditionalFormatting sqref="I14">
    <cfRule type="duplicateValues" dxfId="5" priority="18"/>
    <cfRule type="duplicateValues" dxfId="4" priority="16"/>
    <cfRule type="duplicateValues" dxfId="3" priority="15"/>
  </conditionalFormatting>
  <conditionalFormatting sqref="I15">
    <cfRule type="duplicateValues" dxfId="2" priority="12"/>
    <cfRule type="duplicateValues" dxfId="1" priority="13"/>
    <cfRule type="duplicateValues" dxfId="0" priority="1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11D0-B7AA-4701-97C2-2029F59ED41E}">
  <dimension ref="A4:S15"/>
  <sheetViews>
    <sheetView showGridLines="0" workbookViewId="0">
      <selection activeCell="H18" sqref="H18"/>
    </sheetView>
  </sheetViews>
  <sheetFormatPr defaultRowHeight="15" x14ac:dyDescent="0.25"/>
  <cols>
    <col min="1" max="1" width="11.140625" style="57" bestFit="1" customWidth="1"/>
    <col min="2" max="2" width="12.28515625" style="57" bestFit="1" customWidth="1"/>
    <col min="3" max="3" width="8.5703125" style="57" hidden="1" customWidth="1"/>
    <col min="4" max="4" width="9.140625" style="57" bestFit="1" customWidth="1"/>
    <col min="5" max="5" width="9.85546875" style="57" hidden="1" customWidth="1"/>
    <col min="6" max="6" width="10.42578125" style="57" customWidth="1"/>
    <col min="7" max="7" width="12.140625" style="57" customWidth="1"/>
    <col min="8" max="8" width="14.140625" style="57" customWidth="1"/>
    <col min="9" max="14" width="9.140625" style="57"/>
    <col min="15" max="15" width="12" style="57" bestFit="1" customWidth="1"/>
    <col min="16" max="16" width="8.28515625" style="57" bestFit="1" customWidth="1"/>
    <col min="17" max="16384" width="9.140625" style="57"/>
  </cols>
  <sheetData>
    <row r="4" spans="1:19" s="40" customFormat="1" ht="45" x14ac:dyDescent="0.25">
      <c r="A4" s="34" t="s">
        <v>61</v>
      </c>
      <c r="B4" s="34" t="s">
        <v>42</v>
      </c>
      <c r="C4" s="34" t="s">
        <v>64</v>
      </c>
      <c r="D4" s="34" t="s">
        <v>65</v>
      </c>
      <c r="E4" s="37" t="s">
        <v>69</v>
      </c>
      <c r="F4" s="37" t="s">
        <v>70</v>
      </c>
      <c r="G4" s="89" t="s">
        <v>100</v>
      </c>
      <c r="H4" s="89" t="s">
        <v>101</v>
      </c>
      <c r="I4" s="89" t="s">
        <v>102</v>
      </c>
      <c r="Q4" s="40" t="str">
        <f t="shared" ref="Q4:S4" si="0">LOWER(J4)</f>
        <v/>
      </c>
      <c r="R4" s="40" t="str">
        <f t="shared" si="0"/>
        <v/>
      </c>
      <c r="S4" s="40" t="str">
        <f t="shared" si="0"/>
        <v/>
      </c>
    </row>
    <row r="5" spans="1:19" x14ac:dyDescent="0.25">
      <c r="A5" s="41">
        <v>46206</v>
      </c>
      <c r="B5" s="44" t="s">
        <v>31</v>
      </c>
      <c r="C5" s="45">
        <v>860</v>
      </c>
      <c r="D5" s="46">
        <v>330</v>
      </c>
      <c r="E5" s="49">
        <v>30000</v>
      </c>
      <c r="F5" s="50">
        <v>29600</v>
      </c>
      <c r="G5" s="87">
        <v>19100</v>
      </c>
      <c r="H5" s="87">
        <v>30160</v>
      </c>
      <c r="I5" s="87" t="s">
        <v>114</v>
      </c>
    </row>
    <row r="6" spans="1:19" x14ac:dyDescent="0.25">
      <c r="A6" s="41">
        <v>46209</v>
      </c>
      <c r="B6" s="44" t="s">
        <v>37</v>
      </c>
      <c r="C6" s="45">
        <v>412</v>
      </c>
      <c r="D6" s="46">
        <v>170</v>
      </c>
      <c r="E6" s="49">
        <v>30000</v>
      </c>
      <c r="F6" s="50">
        <v>30160</v>
      </c>
      <c r="G6" s="87">
        <v>19120</v>
      </c>
      <c r="H6" s="87">
        <v>29660</v>
      </c>
      <c r="I6" s="87" t="s">
        <v>114</v>
      </c>
    </row>
    <row r="7" spans="1:19" x14ac:dyDescent="0.25">
      <c r="A7" s="41">
        <v>46211</v>
      </c>
      <c r="B7" s="44" t="s">
        <v>32</v>
      </c>
      <c r="C7" s="45">
        <v>894</v>
      </c>
      <c r="D7" s="46">
        <v>380</v>
      </c>
      <c r="E7" s="49">
        <v>30000</v>
      </c>
      <c r="F7" s="50">
        <v>29660</v>
      </c>
      <c r="G7" s="87">
        <v>19160</v>
      </c>
      <c r="H7" s="87">
        <v>29240</v>
      </c>
      <c r="I7" s="87" t="s">
        <v>114</v>
      </c>
    </row>
    <row r="8" spans="1:19" x14ac:dyDescent="0.25">
      <c r="A8" s="41">
        <v>46214</v>
      </c>
      <c r="B8" s="44" t="s">
        <v>38</v>
      </c>
      <c r="C8" s="45">
        <v>860</v>
      </c>
      <c r="D8" s="46">
        <v>390</v>
      </c>
      <c r="E8" s="49">
        <v>30000</v>
      </c>
      <c r="F8" s="50">
        <v>29240</v>
      </c>
      <c r="G8" s="87">
        <v>19080</v>
      </c>
      <c r="H8" s="87">
        <v>29400</v>
      </c>
      <c r="I8" s="87" t="s">
        <v>114</v>
      </c>
    </row>
    <row r="9" spans="1:19" x14ac:dyDescent="0.25">
      <c r="A9" s="41">
        <v>46217</v>
      </c>
      <c r="B9" s="44" t="s">
        <v>30</v>
      </c>
      <c r="C9" s="45">
        <v>850</v>
      </c>
      <c r="D9" s="46">
        <v>360</v>
      </c>
      <c r="E9" s="49">
        <v>30000</v>
      </c>
      <c r="F9" s="50">
        <v>29400</v>
      </c>
      <c r="G9" s="87">
        <v>19140</v>
      </c>
      <c r="H9" s="87">
        <v>28600</v>
      </c>
      <c r="I9" s="87" t="s">
        <v>114</v>
      </c>
    </row>
    <row r="10" spans="1:19" x14ac:dyDescent="0.25">
      <c r="A10" s="41">
        <v>46220</v>
      </c>
      <c r="B10" s="44" t="s">
        <v>28</v>
      </c>
      <c r="C10" s="45">
        <v>1020</v>
      </c>
      <c r="D10" s="46">
        <v>450</v>
      </c>
      <c r="E10" s="49">
        <v>30000</v>
      </c>
      <c r="F10" s="50">
        <v>28600</v>
      </c>
      <c r="G10" s="87">
        <v>19180</v>
      </c>
      <c r="H10" s="87">
        <v>29900</v>
      </c>
      <c r="I10" s="87" t="s">
        <v>115</v>
      </c>
    </row>
    <row r="11" spans="1:19" x14ac:dyDescent="0.25">
      <c r="A11" s="41">
        <v>46224</v>
      </c>
      <c r="B11" s="44" t="s">
        <v>33</v>
      </c>
      <c r="C11" s="45">
        <v>352</v>
      </c>
      <c r="D11" s="46">
        <v>140</v>
      </c>
      <c r="E11" s="49">
        <v>30000</v>
      </c>
      <c r="F11" s="50">
        <v>29900</v>
      </c>
      <c r="G11" s="87">
        <v>19160</v>
      </c>
      <c r="H11" s="87">
        <v>29760</v>
      </c>
      <c r="I11" s="87" t="s">
        <v>114</v>
      </c>
    </row>
    <row r="12" spans="1:19" x14ac:dyDescent="0.25">
      <c r="A12" s="41">
        <v>46226</v>
      </c>
      <c r="B12" s="44" t="s">
        <v>38</v>
      </c>
      <c r="C12" s="45">
        <v>860</v>
      </c>
      <c r="D12" s="46">
        <v>290</v>
      </c>
      <c r="E12" s="49">
        <v>30000</v>
      </c>
      <c r="F12" s="50">
        <v>29760</v>
      </c>
      <c r="G12" s="87">
        <v>19060</v>
      </c>
      <c r="H12" s="87">
        <v>29160</v>
      </c>
      <c r="I12" s="87" t="s">
        <v>114</v>
      </c>
    </row>
    <row r="13" spans="1:19" x14ac:dyDescent="0.25">
      <c r="A13" s="41">
        <v>46230</v>
      </c>
      <c r="B13" s="44" t="s">
        <v>37</v>
      </c>
      <c r="C13" s="45">
        <v>412</v>
      </c>
      <c r="D13" s="46">
        <v>170</v>
      </c>
      <c r="E13" s="49">
        <v>30000</v>
      </c>
      <c r="F13" s="50">
        <v>29160</v>
      </c>
      <c r="G13" s="87">
        <v>49120</v>
      </c>
      <c r="H13" s="87">
        <v>30140</v>
      </c>
      <c r="I13" s="87" t="s">
        <v>116</v>
      </c>
      <c r="J13" s="57" t="s">
        <v>119</v>
      </c>
    </row>
    <row r="14" spans="1:19" x14ac:dyDescent="0.25">
      <c r="A14" s="41">
        <v>46233</v>
      </c>
      <c r="B14" s="44" t="s">
        <v>36</v>
      </c>
      <c r="C14" s="45">
        <v>742</v>
      </c>
      <c r="D14" s="46">
        <v>400</v>
      </c>
      <c r="E14" s="49">
        <v>30000</v>
      </c>
      <c r="F14" s="50">
        <v>29760</v>
      </c>
      <c r="G14" s="87">
        <v>18980</v>
      </c>
      <c r="H14" s="87">
        <v>29760</v>
      </c>
      <c r="I14" s="87" t="s">
        <v>115</v>
      </c>
    </row>
    <row r="15" spans="1:19" s="73" customFormat="1" x14ac:dyDescent="0.25">
      <c r="A15" s="41">
        <v>46238</v>
      </c>
      <c r="B15" s="60" t="s">
        <v>29</v>
      </c>
      <c r="C15" s="61">
        <v>800</v>
      </c>
      <c r="D15" s="62">
        <v>400</v>
      </c>
      <c r="E15" s="65">
        <v>30000</v>
      </c>
      <c r="F15" s="66">
        <v>28920</v>
      </c>
      <c r="G15" s="88">
        <v>19020</v>
      </c>
      <c r="H15" s="88">
        <v>28920</v>
      </c>
      <c r="I15" s="88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08F1-7CCA-4A44-9938-C17C90679996}">
  <dimension ref="A1:I10"/>
  <sheetViews>
    <sheetView workbookViewId="0">
      <selection activeCell="H13" sqref="H13"/>
    </sheetView>
  </sheetViews>
  <sheetFormatPr defaultRowHeight="15" x14ac:dyDescent="0.25"/>
  <cols>
    <col min="1" max="1" width="19.28515625" bestFit="1" customWidth="1"/>
    <col min="2" max="2" width="13.5703125" bestFit="1" customWidth="1"/>
    <col min="4" max="4" width="17.42578125" bestFit="1" customWidth="1"/>
    <col min="5" max="5" width="19.42578125" bestFit="1" customWidth="1"/>
    <col min="7" max="7" width="10" bestFit="1" customWidth="1"/>
    <col min="8" max="8" width="15" customWidth="1"/>
    <col min="9" max="9" width="11.42578125" customWidth="1"/>
    <col min="15" max="15" width="21" bestFit="1" customWidth="1"/>
  </cols>
  <sheetData>
    <row r="1" spans="1:9" x14ac:dyDescent="0.25">
      <c r="A1" t="s">
        <v>0</v>
      </c>
      <c r="B1" t="s">
        <v>1</v>
      </c>
      <c r="D1" t="s">
        <v>40</v>
      </c>
      <c r="E1" t="s">
        <v>41</v>
      </c>
      <c r="H1" s="31" t="s">
        <v>1</v>
      </c>
      <c r="I1" s="30" t="s">
        <v>35</v>
      </c>
    </row>
    <row r="2" spans="1:9" x14ac:dyDescent="0.25">
      <c r="A2" t="s">
        <v>19</v>
      </c>
      <c r="B2" t="s">
        <v>20</v>
      </c>
      <c r="D2" s="108" t="s">
        <v>123</v>
      </c>
      <c r="E2" s="108" t="s">
        <v>37</v>
      </c>
      <c r="H2" s="33" t="s">
        <v>20</v>
      </c>
      <c r="I2" s="30">
        <v>2.2000000000000002</v>
      </c>
    </row>
    <row r="3" spans="1:9" x14ac:dyDescent="0.25">
      <c r="D3" s="108" t="s">
        <v>124</v>
      </c>
      <c r="E3" s="108" t="s">
        <v>31</v>
      </c>
    </row>
    <row r="4" spans="1:9" x14ac:dyDescent="0.25">
      <c r="D4" s="108" t="s">
        <v>124</v>
      </c>
      <c r="E4" s="108" t="s">
        <v>29</v>
      </c>
    </row>
    <row r="5" spans="1:9" x14ac:dyDescent="0.25">
      <c r="D5" s="108" t="s">
        <v>125</v>
      </c>
      <c r="E5" s="108" t="s">
        <v>28</v>
      </c>
    </row>
    <row r="6" spans="1:9" x14ac:dyDescent="0.25">
      <c r="D6" s="108" t="s">
        <v>126</v>
      </c>
      <c r="E6" s="108" t="s">
        <v>33</v>
      </c>
    </row>
    <row r="7" spans="1:9" x14ac:dyDescent="0.25">
      <c r="D7" s="108" t="s">
        <v>126</v>
      </c>
      <c r="E7" s="108" t="s">
        <v>32</v>
      </c>
    </row>
    <row r="8" spans="1:9" x14ac:dyDescent="0.25">
      <c r="D8" s="108" t="s">
        <v>127</v>
      </c>
      <c r="E8" s="108" t="s">
        <v>30</v>
      </c>
    </row>
    <row r="9" spans="1:9" x14ac:dyDescent="0.25">
      <c r="D9" s="108" t="s">
        <v>127</v>
      </c>
      <c r="E9" s="108" t="s">
        <v>36</v>
      </c>
    </row>
    <row r="10" spans="1:9" x14ac:dyDescent="0.25">
      <c r="D10" s="108" t="s">
        <v>127</v>
      </c>
      <c r="E10" s="108" t="s">
        <v>38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51A986-D0D4-4BFD-A331-319B37DAC5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Data_Sheet</vt:lpstr>
      <vt:lpstr>Weight</vt:lpstr>
      <vt:lpstr>UA 000AA</vt:lpstr>
      <vt:lpstr>Victorra Data</vt:lpstr>
      <vt:lpstr>Truck reg 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Sukisa</dc:creator>
  <cp:lastModifiedBy>Robert Sukisa</cp:lastModifiedBy>
  <dcterms:created xsi:type="dcterms:W3CDTF">2026-02-10T05:47:31Z</dcterms:created>
  <dcterms:modified xsi:type="dcterms:W3CDTF">2026-08-06T08:25:15Z</dcterms:modified>
</cp:coreProperties>
</file>